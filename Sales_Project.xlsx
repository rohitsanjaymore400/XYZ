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hit\Downloads\"/>
    </mc:Choice>
  </mc:AlternateContent>
  <xr:revisionPtr revIDLastSave="0" documentId="13_ncr:1_{40BF78F5-56D5-4CBF-B596-716B0561CEFB}" xr6:coauthVersionLast="47" xr6:coauthVersionMax="47" xr10:uidLastSave="{00000000-0000-0000-0000-000000000000}"/>
  <bookViews>
    <workbookView xWindow="-108" yWindow="-108" windowWidth="23256" windowHeight="12456" tabRatio="792" firstSheet="1" activeTab="7" xr2:uid="{00000000-000D-0000-FFFF-FFFF00000000}"/>
  </bookViews>
  <sheets>
    <sheet name="Category-wise Sales" sheetId="3" r:id="rId1"/>
    <sheet name="Date-wise Sales" sheetId="4" r:id="rId2"/>
    <sheet name="Product-wise Sales" sheetId="6" r:id="rId3"/>
    <sheet name="State-wise Sales" sheetId="8" r:id="rId4"/>
    <sheet name="Detail1" sheetId="12" r:id="rId5"/>
    <sheet name="Sheet9" sheetId="11" r:id="rId6"/>
    <sheet name="Sales_Data" sheetId="1" r:id="rId7"/>
    <sheet name="Dashboard" sheetId="5" r:id="rId8"/>
  </sheets>
  <definedNames>
    <definedName name="_xlnm._FilterDatabase" localSheetId="6" hidden="1">Sales_Data!$A$1:$I$51</definedName>
    <definedName name="Slicer_Category">#N/A</definedName>
    <definedName name="Slicer_Date">#N/A</definedName>
    <definedName name="Slicer_Product">#N/A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1" l="1"/>
  <c r="H2" i="11" s="1"/>
  <c r="D2" i="11"/>
  <c r="E2" i="11" s="1"/>
  <c r="G2" i="6"/>
  <c r="H2" i="6" s="1"/>
  <c r="E3" i="11" a="1"/>
  <c r="H3" i="11" a="1"/>
  <c r="H3" i="6" a="1"/>
  <c r="H3" i="11" l="1"/>
  <c r="E3" i="11"/>
  <c r="H3" i="6"/>
  <c r="D2" i="6"/>
  <c r="E2" i="6" s="1"/>
  <c r="E3" i="6" a="1"/>
  <c r="E3"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<sst xmlns="http://schemas.openxmlformats.org/spreadsheetml/2006/main" count="629" uniqueCount="136">
  <si>
    <t>Date</t>
  </si>
  <si>
    <t>Order_ID</t>
  </si>
  <si>
    <t>Customer_Name</t>
  </si>
  <si>
    <t>Product</t>
  </si>
  <si>
    <t>Category</t>
  </si>
  <si>
    <t>Quantity</t>
  </si>
  <si>
    <t>Price</t>
  </si>
  <si>
    <t>Total_Sales</t>
  </si>
  <si>
    <t>State</t>
  </si>
  <si>
    <t>2024-01-11</t>
  </si>
  <si>
    <t>ORD1001</t>
  </si>
  <si>
    <t>Neha</t>
  </si>
  <si>
    <t>Mobile</t>
  </si>
  <si>
    <t>Electronics</t>
  </si>
  <si>
    <t>Rajasthan</t>
  </si>
  <si>
    <t>2024-01-17</t>
  </si>
  <si>
    <t>ORD1002</t>
  </si>
  <si>
    <t>Aman</t>
  </si>
  <si>
    <t>T-Shirt</t>
  </si>
  <si>
    <t>Fashion</t>
  </si>
  <si>
    <t>Maharashtra</t>
  </si>
  <si>
    <t>2024-01-25</t>
  </si>
  <si>
    <t>ORD1003</t>
  </si>
  <si>
    <t>Priya</t>
  </si>
  <si>
    <t>Watch</t>
  </si>
  <si>
    <t>Accessories</t>
  </si>
  <si>
    <t>Gujarat</t>
  </si>
  <si>
    <t>2024-01-24</t>
  </si>
  <si>
    <t>ORD1004</t>
  </si>
  <si>
    <t>Anil</t>
  </si>
  <si>
    <t>Shoes</t>
  </si>
  <si>
    <t>2024-01-18</t>
  </si>
  <si>
    <t>ORD1005</t>
  </si>
  <si>
    <t>Meena</t>
  </si>
  <si>
    <t>Delhi</t>
  </si>
  <si>
    <t>2024-01-10</t>
  </si>
  <si>
    <t>ORD1006</t>
  </si>
  <si>
    <t>Laptop</t>
  </si>
  <si>
    <t>2024-01-12</t>
  </si>
  <si>
    <t>ORD1007</t>
  </si>
  <si>
    <t>2024-01-09</t>
  </si>
  <si>
    <t>ORD1008</t>
  </si>
  <si>
    <t>Vikas</t>
  </si>
  <si>
    <t>Headphones</t>
  </si>
  <si>
    <t>2024-01-27</t>
  </si>
  <si>
    <t>ORD1009</t>
  </si>
  <si>
    <t>Karnataka</t>
  </si>
  <si>
    <t>2024-01-23</t>
  </si>
  <si>
    <t>ORD1010</t>
  </si>
  <si>
    <t>2024-01-06</t>
  </si>
  <si>
    <t>ORD1011</t>
  </si>
  <si>
    <t>2024-01-31</t>
  </si>
  <si>
    <t>ORD1012</t>
  </si>
  <si>
    <t>2024-01-07</t>
  </si>
  <si>
    <t>ORD1013</t>
  </si>
  <si>
    <t>Rohit</t>
  </si>
  <si>
    <t>2024-01-16</t>
  </si>
  <si>
    <t>ORD1014</t>
  </si>
  <si>
    <t>2024-01-04</t>
  </si>
  <si>
    <t>ORD1015</t>
  </si>
  <si>
    <t>2024-01-08</t>
  </si>
  <si>
    <t>ORD1016</t>
  </si>
  <si>
    <t>ORD1017</t>
  </si>
  <si>
    <t>2024-01-14</t>
  </si>
  <si>
    <t>ORD1018</t>
  </si>
  <si>
    <t>2024-01-13</t>
  </si>
  <si>
    <t>ORD1019</t>
  </si>
  <si>
    <t>2024-01-29</t>
  </si>
  <si>
    <t>ORD1020</t>
  </si>
  <si>
    <t>2024-01-15</t>
  </si>
  <si>
    <t>ORD1021</t>
  </si>
  <si>
    <t>ORD1022</t>
  </si>
  <si>
    <t>ORD1023</t>
  </si>
  <si>
    <t>ORD1024</t>
  </si>
  <si>
    <t>ORD1025</t>
  </si>
  <si>
    <t>ORD1026</t>
  </si>
  <si>
    <t>2024-01-20</t>
  </si>
  <si>
    <t>ORD1027</t>
  </si>
  <si>
    <t>2024-01-26</t>
  </si>
  <si>
    <t>ORD1028</t>
  </si>
  <si>
    <t>ORD1029</t>
  </si>
  <si>
    <t>ORD1030</t>
  </si>
  <si>
    <t>ORD1031</t>
  </si>
  <si>
    <t>2024-01-30</t>
  </si>
  <si>
    <t>ORD1032</t>
  </si>
  <si>
    <t>ORD1033</t>
  </si>
  <si>
    <t>ORD1034</t>
  </si>
  <si>
    <t>ORD1035</t>
  </si>
  <si>
    <t>2024-01-05</t>
  </si>
  <si>
    <t>ORD1036</t>
  </si>
  <si>
    <t>2024-01-22</t>
  </si>
  <si>
    <t>ORD1037</t>
  </si>
  <si>
    <t>ORD1038</t>
  </si>
  <si>
    <t>ORD1039</t>
  </si>
  <si>
    <t>ORD1040</t>
  </si>
  <si>
    <t>ORD1041</t>
  </si>
  <si>
    <t>ORD1042</t>
  </si>
  <si>
    <t>ORD1043</t>
  </si>
  <si>
    <t>2024-01-19</t>
  </si>
  <si>
    <t>ORD1044</t>
  </si>
  <si>
    <t>ORD1045</t>
  </si>
  <si>
    <t>ORD1046</t>
  </si>
  <si>
    <t>ORD1047</t>
  </si>
  <si>
    <t>ORD1048</t>
  </si>
  <si>
    <t>ORD1049</t>
  </si>
  <si>
    <t>ORD1050</t>
  </si>
  <si>
    <t>Row Labels</t>
  </si>
  <si>
    <t>Grand Total</t>
  </si>
  <si>
    <t>Sum of Total_Sales</t>
  </si>
  <si>
    <t>Average of Total_Sales2</t>
  </si>
  <si>
    <t>Sum of Price</t>
  </si>
  <si>
    <t>Count of Quantity</t>
  </si>
  <si>
    <t>Details for Count of Quantity</t>
  </si>
  <si>
    <t>Jan</t>
  </si>
  <si>
    <t>Feb</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</si>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</sst>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yy;@"/>
    <numFmt numFmtId="165" formatCode="[$₹-4009]\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 fillId="0" borderId="0" xfId="0" applyFont="1"/>
    <xf numFmtId="165" fontId="0" fillId="0" borderId="0" xfId="0" applyNumberFormat="1"/>
    <xf numFmtId="0" fontId="0" fillId="0" borderId="0" xfId="0" applyNumberFormat="1"/>
  </cellXfs>
  <cellStyles count="1">
    <cellStyle name="Normal" xfId="0" builtinId="0"/>
  </cellStyles>
  <dxfs count="2">
    <dxf>
      <numFmt numFmtId="164" formatCode="[$-409]d\-mmm\-yyyy;@"/>
    </dxf>
    <dxf>
      <fill>
        <patternFill>
          <bgColor theme="4" tint="0.59996337778862885"/>
        </patternFill>
      </fill>
    </dxf>
  </dxfs>
  <tableStyles count="1" defaultTableStyle="TableStyleMedium9" defaultPivotStyle="PivotStyleLight16">
    <tableStyle name="Slicer Style 1" pivot="0" table="0" count="1" xr9:uid="{3EDF3A2D-9A11-4F15-B12C-A70689A427F5}">
      <tableStyleElement type="wholeTable"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[Sales_Project.xlsx]Category-wise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70C0"/>
                </a:solidFill>
              </a:rPr>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40000"/>
              <a:lumOff val="60000"/>
            </a:schemeClr>
          </a:solidFill>
          <a:ln>
            <a:noFill/>
          </a:ln>
          <a:effectLst/>
        </c:spPr>
      </c:pivotFmt>
    </c:pivotFmts>
    <c:plotArea>
      <c:layout/>
      <c:barChart>
        <c:barDir val="col"/>
        <c:grouping val="clustered"/>
        <c:varyColors val="0"/>
        <c:ser>
          <c:idx val="0"/>
          <c:order val="0"/>
          <c:tx>
            <c:strRef>
              <c:f>'Category-wise Sales'!$B$3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Sales'!$A$4:$A$7</c:f>
              <c:strCache>
                <c:ptCount val="3"/>
                <c:pt idx="0">
                  <c:v>Accessories</c:v>
                </c:pt>
                <c:pt idx="1">
                  <c:v>Electronics</c:v>
                </c:pt>
                <c:pt idx="2">
                  <c:v>Fashion</c:v>
                </c:pt>
              </c:strCache>
            </c:strRef>
          </c:cat>
          <c:val>
            <c:numRef>
              <c:f>'Category-wise Sales'!$B$4:$B$7</c:f>
              <c:numCache>
                <c:formatCode>General</c:formatCode>
                <c:ptCount val="3"/>
                <c:pt idx="0">
                  <c:v>66300</c:v>
                </c:pt>
                <c:pt idx="1">
                  <c:v>1224000</c:v>
                </c:pt>
                <c:pt idx="2">
                  <c:v>102200</c:v>
                </c:pt>
              </c:numCache>
            </c:numRef>
          </c:val>
          <c:extLst>
            <c:ext xmlns:c16="http://schemas.microsoft.com/office/drawing/2014/chart" uri="{C3380CC4-5D6E-409C-BE32-E72D297353CC}">
              <c16:uniqueId val="{00000000-7915-42F5-90AC-FAAFC5EDCDD4}"/>
            </c:ext>
          </c:extLst>
        </c:ser>
        <c:dLbls>
          <c:dLblPos val="outEnd"/>
          <c:showLegendKey val="0"/>
          <c:showVal val="1"/>
          <c:showCatName val="0"/>
          <c:showSerName val="0"/>
          <c:showPercent val="0"/>
          <c:showBubbleSize val="0"/>
        </c:dLbls>
        <c:gapWidth val="219"/>
        <c:overlap val="-27"/>
        <c:axId val="1367930288"/>
        <c:axId val="1367932688"/>
      </c:barChart>
      <c:catAx>
        <c:axId val="136793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32688"/>
        <c:crosses val="autoZero"/>
        <c:auto val="1"/>
        <c:lblAlgn val="ctr"/>
        <c:lblOffset val="100"/>
        <c:noMultiLvlLbl val="0"/>
      </c:catAx>
      <c:valAx>
        <c:axId val="1367932688"/>
        <c:scaling>
          <c:orientation val="minMax"/>
        </c:scaling>
        <c:delete val="1"/>
        <c:axPos val="l"/>
        <c:numFmt formatCode="General" sourceLinked="1"/>
        <c:majorTickMark val="none"/>
        <c:minorTickMark val="none"/>
        <c:tickLblPos val="nextTo"/>
        <c:crossAx val="13679302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[Sales_Project.xlsx]State-wise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0070C0"/>
                </a:solidFill>
              </a:rPr>
              <a:t>State-wise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Sales'!$B$3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'State-wise Sales'!$A$4:$A$9</c:f>
              <c:strCache>
                <c:ptCount val="5"/>
                <c:pt idx="0">
                  <c:v>Delhi</c:v>
                </c:pt>
                <c:pt idx="1">
                  <c:v>Gujarat</c:v>
                </c:pt>
                <c:pt idx="2">
                  <c:v>Karnataka</c:v>
                </c:pt>
                <c:pt idx="3">
                  <c:v>Maharashtra</c:v>
                </c:pt>
                <c:pt idx="4">
                  <c:v>Rajasthan</c:v>
                </c:pt>
              </c:strCache>
            </c:strRef>
          </c:cat>
          <c:val>
            <c:numRef>
              <c:f>'State-wise Sales'!$B$4:$B$9</c:f>
              <c:numCache>
                <c:formatCode>General</c:formatCode>
                <c:ptCount val="5"/>
                <c:pt idx="0">
                  <c:v>454400</c:v>
                </c:pt>
                <c:pt idx="1">
                  <c:v>313500</c:v>
                </c:pt>
                <c:pt idx="2">
                  <c:v>203300</c:v>
                </c:pt>
                <c:pt idx="3">
                  <c:v>53000</c:v>
                </c:pt>
                <c:pt idx="4">
                  <c:v>368300</c:v>
                </c:pt>
              </c:numCache>
            </c:numRef>
          </c:val>
          <c:extLst>
            <c:ext xmlns:c16="http://schemas.microsoft.com/office/drawing/2014/chart" uri="{C3380CC4-5D6E-409C-BE32-E72D297353CC}">
              <c16:uniqueId val="{00000000-E17A-41BD-BD39-10D69446FC4D}"/>
            </c:ext>
          </c:extLst>
        </c:ser>
        <c:dLbls>
          <c:showLegendKey val="0"/>
          <c:showVal val="0"/>
          <c:showCatName val="0"/>
          <c:showSerName val="0"/>
          <c:showPercent val="0"/>
          <c:showBubbleSize val="0"/>
        </c:dLbls>
        <c:gapWidth val="219"/>
        <c:overlap val="-27"/>
        <c:axId val="1610603408"/>
        <c:axId val="1610608688"/>
      </c:barChart>
      <c:catAx>
        <c:axId val="16106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08688"/>
        <c:crosses val="autoZero"/>
        <c:auto val="1"/>
        <c:lblAlgn val="ctr"/>
        <c:lblOffset val="100"/>
        <c:noMultiLvlLbl val="0"/>
      </c:catAx>
      <c:valAx>
        <c:axId val="1610608688"/>
        <c:scaling>
          <c:orientation val="minMax"/>
        </c:scaling>
        <c:delete val="1"/>
        <c:axPos val="l"/>
        <c:numFmt formatCode="General" sourceLinked="1"/>
        <c:majorTickMark val="none"/>
        <c:minorTickMark val="none"/>
        <c:tickLblPos val="nextTo"/>
        <c:crossAx val="161060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[Sales_Project.xlsx]Product-wise Sales!PivotTable3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0070C0"/>
                </a:solidFill>
              </a:rPr>
              <a:t>Sum of Total_Sales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'Product-wise Sales'!$B$3</c:f>
              <c:strCache>
                <c:ptCount val="1"/>
                <c:pt idx="0">
                  <c:v>Sum of Total_Sales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A19-4F66-8732-C19169618A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A19-4F66-8732-C19169618A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A19-4F66-8732-C19169618A4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A19-4F66-8732-C19169618A4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EA19-4F66-8732-C19169618A4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EA19-4F66-8732-C19169618A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'Product-wise Sales'!$A$4:$A$10</c:f>
              <c:strCache>
                <c:ptCount val="6"/>
                <c:pt idx="0">
                  <c:v>Headphones</c:v>
                </c:pt>
                <c:pt idx="1">
                  <c:v>Laptop</c:v>
                </c:pt>
                <c:pt idx="2">
                  <c:v>Mobile</c:v>
                </c:pt>
                <c:pt idx="3">
                  <c:v>Shoes</c:v>
                </c:pt>
                <c:pt idx="4">
                  <c:v>T-Shirt</c:v>
                </c:pt>
                <c:pt idx="5">
                  <c:v>Watch</c:v>
                </c:pt>
              </c:strCache>
            </c:strRef>
          </c:cat>
          <c:val>
            <c:numRef>
              <c:f>'Product-wise Sales'!$B$4:$B$10</c:f>
              <c:numCache>
                <c:formatCode>General</c:formatCode>
                <c:ptCount val="6"/>
                <c:pt idx="0">
                  <c:v>28500</c:v>
                </c:pt>
                <c:pt idx="1">
                  <c:v>900000</c:v>
                </c:pt>
                <c:pt idx="2">
                  <c:v>324000</c:v>
                </c:pt>
                <c:pt idx="3">
                  <c:v>90200</c:v>
                </c:pt>
                <c:pt idx="4">
                  <c:v>12000</c:v>
                </c:pt>
                <c:pt idx="5">
                  <c:v>37800</c:v>
                </c:pt>
              </c:numCache>
            </c:numRef>
          </c:val>
          <c:extLst>
            <c:ext xmlns:c16="http://schemas.microsoft.com/office/drawing/2014/chart" uri="{C3380CC4-5D6E-409C-BE32-E72D297353CC}">
              <c16:uniqueId val="{00000000-E55C-412F-B2EF-DA29F74FE63C}"/>
            </c:ext>
          </c:extLst>
        </c:ser>
        <c:ser>
          <c:idx val="1"/>
          <c:order val="1"/>
          <c:tx>
            <c:strRef>
              <c:f>'Product-wise Sales'!$C$3</c:f>
              <c:strCache>
                <c:ptCount val="1"/>
                <c:pt idx="0">
                  <c:v>Average of Total_Sales2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EA19-4F66-8732-C19169618A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EA19-4F66-8732-C19169618A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EA19-4F66-8732-C19169618A4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EA19-4F66-8732-C19169618A4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EA19-4F66-8732-C19169618A4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EA19-4F66-8732-C19169618A47}"/>
              </c:ext>
            </c:extLst>
          </c:dPt>
          <c:cat>
            <c:strRef>
              <c:f>'Product-wise Sales'!$A$4:$A$10</c:f>
              <c:strCache>
                <c:ptCount val="6"/>
                <c:pt idx="0">
                  <c:v>Headphones</c:v>
                </c:pt>
                <c:pt idx="1">
                  <c:v>Laptop</c:v>
                </c:pt>
                <c:pt idx="2">
                  <c:v>Mobile</c:v>
                </c:pt>
                <c:pt idx="3">
                  <c:v>Shoes</c:v>
                </c:pt>
                <c:pt idx="4">
                  <c:v>T-Shirt</c:v>
                </c:pt>
                <c:pt idx="5">
                  <c:v>Watch</c:v>
                </c:pt>
              </c:strCache>
            </c:strRef>
          </c:cat>
          <c:val>
            <c:numRef>
              <c:f>'Product-wise Sales'!$C$4:$C$10</c:f>
              <c:numCache>
                <c:formatCode>General</c:formatCode>
                <c:ptCount val="6"/>
                <c:pt idx="0">
                  <c:v>3562.5</c:v>
                </c:pt>
                <c:pt idx="1">
                  <c:v>100000</c:v>
                </c:pt>
                <c:pt idx="2">
                  <c:v>40500</c:v>
                </c:pt>
                <c:pt idx="3">
                  <c:v>7516.666666666667</c:v>
                </c:pt>
                <c:pt idx="4">
                  <c:v>2000</c:v>
                </c:pt>
                <c:pt idx="5">
                  <c:v>5400</c:v>
                </c:pt>
              </c:numCache>
            </c:numRef>
          </c:val>
          <c:extLst>
            <c:ext xmlns:c16="http://schemas.microsoft.com/office/drawing/2014/chart" uri="{C3380CC4-5D6E-409C-BE32-E72D297353CC}">
              <c16:uniqueId val="{00000001-E55C-412F-B2EF-DA29F74FE63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9.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svg"/><Relationship Id="rId11" Type="http://schemas.openxmlformats.org/officeDocument/2006/relationships/image" Target="../media/image8.png"/><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505300</xdr:colOff>
      <xdr:row>1</xdr:row>
      <xdr:rowOff>27311</xdr:rowOff>
    </xdr:from>
    <xdr:to>
      <xdr:col>42</xdr:col>
      <xdr:colOff>200641</xdr:colOff>
      <xdr:row>48</xdr:row>
      <xdr:rowOff>157544</xdr:rowOff>
    </xdr:to>
    <xdr:sp macro="" textlink="">
      <xdr:nvSpPr>
        <xdr:cNvPr id="13" name="Rectangle 12">
          <a:extLst>
            <a:ext uri="{FF2B5EF4-FFF2-40B4-BE49-F238E27FC236}">
              <a16:creationId xmlns:a16="http://schemas.microsoft.com/office/drawing/2014/main" id="{D19285DB-9D12-1B87-8CBC-008141BFA7F5}"/>
            </a:ext>
          </a:extLst>
        </xdr:cNvPr>
        <xdr:cNvSpPr/>
      </xdr:nvSpPr>
      <xdr:spPr>
        <a:xfrm>
          <a:off x="12697300" y="207420"/>
          <a:ext cx="13106541" cy="859536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3175">
              <a:solidFill>
                <a:schemeClr val="tx1"/>
              </a:solidFill>
            </a:ln>
          </a:endParaRPr>
        </a:p>
      </xdr:txBody>
    </xdr:sp>
    <xdr:clientData/>
  </xdr:twoCellAnchor>
  <xdr:twoCellAnchor>
    <xdr:from>
      <xdr:col>21</xdr:col>
      <xdr:colOff>29145</xdr:colOff>
      <xdr:row>1</xdr:row>
      <xdr:rowOff>114110</xdr:rowOff>
    </xdr:from>
    <xdr:to>
      <xdr:col>42</xdr:col>
      <xdr:colOff>29145</xdr:colOff>
      <xdr:row>7</xdr:row>
      <xdr:rowOff>85974</xdr:rowOff>
    </xdr:to>
    <xdr:sp macro="" textlink="">
      <xdr:nvSpPr>
        <xdr:cNvPr id="50" name="Rectangle: Rounded Corners 49">
          <a:extLst>
            <a:ext uri="{FF2B5EF4-FFF2-40B4-BE49-F238E27FC236}">
              <a16:creationId xmlns:a16="http://schemas.microsoft.com/office/drawing/2014/main" id="{9E4E7A49-A483-4235-9F21-3DC06E9E3CC5}"/>
            </a:ext>
          </a:extLst>
        </xdr:cNvPr>
        <xdr:cNvSpPr/>
      </xdr:nvSpPr>
      <xdr:spPr>
        <a:xfrm>
          <a:off x="12830745" y="301679"/>
          <a:ext cx="12801600" cy="1097280"/>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368459</xdr:colOff>
      <xdr:row>29</xdr:row>
      <xdr:rowOff>97602</xdr:rowOff>
    </xdr:from>
    <xdr:to>
      <xdr:col>42</xdr:col>
      <xdr:colOff>42809</xdr:colOff>
      <xdr:row>48</xdr:row>
      <xdr:rowOff>12158</xdr:rowOff>
    </xdr:to>
    <xdr:sp macro="" textlink="">
      <xdr:nvSpPr>
        <xdr:cNvPr id="44" name="Rectangle: Rounded Corners 43">
          <a:extLst>
            <a:ext uri="{FF2B5EF4-FFF2-40B4-BE49-F238E27FC236}">
              <a16:creationId xmlns:a16="http://schemas.microsoft.com/office/drawing/2014/main" id="{DB557897-5E6E-4F8E-A188-5521C5AC0C4D}"/>
            </a:ext>
          </a:extLst>
        </xdr:cNvPr>
        <xdr:cNvSpPr/>
      </xdr:nvSpPr>
      <xdr:spPr>
        <a:xfrm>
          <a:off x="15058820" y="5531536"/>
          <a:ext cx="10692120" cy="3474720"/>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389537</xdr:colOff>
      <xdr:row>13</xdr:row>
      <xdr:rowOff>57642</xdr:rowOff>
    </xdr:from>
    <xdr:to>
      <xdr:col>33</xdr:col>
      <xdr:colOff>324730</xdr:colOff>
      <xdr:row>29</xdr:row>
      <xdr:rowOff>1395</xdr:rowOff>
    </xdr:to>
    <xdr:sp macro="" textlink="">
      <xdr:nvSpPr>
        <xdr:cNvPr id="42" name="Rectangle: Rounded Corners 41">
          <a:extLst>
            <a:ext uri="{FF2B5EF4-FFF2-40B4-BE49-F238E27FC236}">
              <a16:creationId xmlns:a16="http://schemas.microsoft.com/office/drawing/2014/main" id="{A3A9AE2E-9EB3-4F57-A92C-86D78548CEFB}"/>
            </a:ext>
          </a:extLst>
        </xdr:cNvPr>
        <xdr:cNvSpPr/>
      </xdr:nvSpPr>
      <xdr:spPr>
        <a:xfrm>
          <a:off x="15071452" y="2429501"/>
          <a:ext cx="5440912" cy="2862964"/>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554467</xdr:colOff>
      <xdr:row>7</xdr:row>
      <xdr:rowOff>166377</xdr:rowOff>
    </xdr:from>
    <xdr:to>
      <xdr:col>32</xdr:col>
      <xdr:colOff>566750</xdr:colOff>
      <xdr:row>12</xdr:row>
      <xdr:rowOff>3016</xdr:rowOff>
    </xdr:to>
    <xdr:sp macro="" textlink="">
      <xdr:nvSpPr>
        <xdr:cNvPr id="25" name="Rectangle: Rounded Corners 24">
          <a:extLst>
            <a:ext uri="{FF2B5EF4-FFF2-40B4-BE49-F238E27FC236}">
              <a16:creationId xmlns:a16="http://schemas.microsoft.com/office/drawing/2014/main" id="{A2A45259-A494-4216-95A1-001A404AD2D8}"/>
            </a:ext>
          </a:extLst>
        </xdr:cNvPr>
        <xdr:cNvSpPr/>
      </xdr:nvSpPr>
      <xdr:spPr>
        <a:xfrm>
          <a:off x="17683368" y="1443532"/>
          <a:ext cx="2459269"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554915</xdr:colOff>
      <xdr:row>7</xdr:row>
      <xdr:rowOff>170159</xdr:rowOff>
    </xdr:from>
    <xdr:to>
      <xdr:col>30</xdr:col>
      <xdr:colOff>69638</xdr:colOff>
      <xdr:row>12</xdr:row>
      <xdr:rowOff>6798</xdr:rowOff>
    </xdr:to>
    <xdr:sp macro="" textlink="">
      <xdr:nvSpPr>
        <xdr:cNvPr id="29" name="Rectangle: Rounded Corners 28">
          <a:extLst>
            <a:ext uri="{FF2B5EF4-FFF2-40B4-BE49-F238E27FC236}">
              <a16:creationId xmlns:a16="http://schemas.microsoft.com/office/drawing/2014/main" id="{F148A24D-4454-4D7A-9A89-97C6CCC8D8B1}"/>
            </a:ext>
          </a:extLst>
        </xdr:cNvPr>
        <xdr:cNvSpPr/>
      </xdr:nvSpPr>
      <xdr:spPr>
        <a:xfrm>
          <a:off x="17683816" y="1447314"/>
          <a:ext cx="738216"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15875</xdr:colOff>
      <xdr:row>7</xdr:row>
      <xdr:rowOff>174628</xdr:rowOff>
    </xdr:from>
    <xdr:to>
      <xdr:col>24</xdr:col>
      <xdr:colOff>182563</xdr:colOff>
      <xdr:row>47</xdr:row>
      <xdr:rowOff>179441</xdr:rowOff>
    </xdr:to>
    <xdr:sp macro="" textlink="">
      <xdr:nvSpPr>
        <xdr:cNvPr id="16" name="Rectangle: Rounded Corners 15">
          <a:extLst>
            <a:ext uri="{FF2B5EF4-FFF2-40B4-BE49-F238E27FC236}">
              <a16:creationId xmlns:a16="http://schemas.microsoft.com/office/drawing/2014/main" id="{0422B64C-1A70-103A-6C8D-0D592AB158FF}"/>
            </a:ext>
          </a:extLst>
        </xdr:cNvPr>
        <xdr:cNvSpPr/>
      </xdr:nvSpPr>
      <xdr:spPr>
        <a:xfrm>
          <a:off x="12859586" y="1437944"/>
          <a:ext cx="2001503" cy="7223760"/>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460347</xdr:colOff>
      <xdr:row>13</xdr:row>
      <xdr:rowOff>81868</xdr:rowOff>
    </xdr:from>
    <xdr:to>
      <xdr:col>33</xdr:col>
      <xdr:colOff>208888</xdr:colOff>
      <xdr:row>28</xdr:row>
      <xdr:rowOff>81868</xdr:rowOff>
    </xdr:to>
    <xdr:graphicFrame macro="">
      <xdr:nvGraphicFramePr>
        <xdr:cNvPr id="2" name="Chart 1">
          <a:extLst>
            <a:ext uri="{FF2B5EF4-FFF2-40B4-BE49-F238E27FC236}">
              <a16:creationId xmlns:a16="http://schemas.microsoft.com/office/drawing/2014/main" id="{6A9F1967-13FF-4083-A2D4-953C3475A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738</xdr:colOff>
      <xdr:row>2</xdr:row>
      <xdr:rowOff>57510</xdr:rowOff>
    </xdr:from>
    <xdr:to>
      <xdr:col>5</xdr:col>
      <xdr:colOff>10506</xdr:colOff>
      <xdr:row>5</xdr:row>
      <xdr:rowOff>105987</xdr:rowOff>
    </xdr:to>
    <xdr:sp macro="" textlink="">
      <xdr:nvSpPr>
        <xdr:cNvPr id="11" name="TextBox 10">
          <a:extLst>
            <a:ext uri="{FF2B5EF4-FFF2-40B4-BE49-F238E27FC236}">
              <a16:creationId xmlns:a16="http://schemas.microsoft.com/office/drawing/2014/main" id="{0E753671-5215-4E3C-BF27-00F1C2EB0DB8}"/>
            </a:ext>
          </a:extLst>
        </xdr:cNvPr>
        <xdr:cNvSpPr txBox="1"/>
      </xdr:nvSpPr>
      <xdr:spPr>
        <a:xfrm>
          <a:off x="1218021" y="421736"/>
          <a:ext cx="1835693" cy="594817"/>
        </a:xfrm>
        <a:prstGeom prst="rect">
          <a:avLst/>
        </a:prstGeom>
        <a:solidFill>
          <a:schemeClr val="tx1">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2800" b="1">
            <a:solidFill>
              <a:schemeClr val="tx2">
                <a:lumMod val="50000"/>
              </a:schemeClr>
            </a:solidFill>
          </a:endParaRPr>
        </a:p>
      </xdr:txBody>
    </xdr:sp>
    <xdr:clientData/>
  </xdr:twoCellAnchor>
  <xdr:twoCellAnchor>
    <xdr:from>
      <xdr:col>21</xdr:col>
      <xdr:colOff>108338</xdr:colOff>
      <xdr:row>2</xdr:row>
      <xdr:rowOff>8490</xdr:rowOff>
    </xdr:from>
    <xdr:to>
      <xdr:col>41</xdr:col>
      <xdr:colOff>535058</xdr:colOff>
      <xdr:row>6</xdr:row>
      <xdr:rowOff>172613</xdr:rowOff>
    </xdr:to>
    <xdr:sp macro="" textlink="">
      <xdr:nvSpPr>
        <xdr:cNvPr id="8" name="TextBox 7">
          <a:extLst>
            <a:ext uri="{FF2B5EF4-FFF2-40B4-BE49-F238E27FC236}">
              <a16:creationId xmlns:a16="http://schemas.microsoft.com/office/drawing/2014/main" id="{F6A40D5E-0877-B5CF-2FAC-A881EE984183}"/>
            </a:ext>
          </a:extLst>
        </xdr:cNvPr>
        <xdr:cNvSpPr txBox="1"/>
      </xdr:nvSpPr>
      <xdr:spPr>
        <a:xfrm>
          <a:off x="12909938" y="383628"/>
          <a:ext cx="12618720" cy="914400"/>
        </a:xfrm>
        <a:prstGeom prst="rect">
          <a:avLst/>
        </a:prstGeom>
        <a:gradFill>
          <a:gsLst>
            <a:gs pos="46000">
              <a:schemeClr val="accent1">
                <a:lumMod val="5000"/>
                <a:lumOff val="95000"/>
              </a:schemeClr>
            </a:gs>
            <a:gs pos="95000">
              <a:schemeClr val="accent1">
                <a:lumMod val="45000"/>
                <a:lumOff val="55000"/>
              </a:schemeClr>
            </a:gs>
            <a:gs pos="0">
              <a:schemeClr val="accent1">
                <a:lumMod val="45000"/>
                <a:lumOff val="55000"/>
              </a:schemeClr>
            </a:gs>
            <a:gs pos="68000">
              <a:schemeClr val="accent1">
                <a:lumMod val="30000"/>
                <a:lumOff val="70000"/>
              </a:schemeClr>
            </a:gs>
          </a:gsLst>
          <a:lin ang="54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0070C0"/>
              </a:solidFill>
            </a:rPr>
            <a:t>Sales Performance Dashboard</a:t>
          </a:r>
        </a:p>
      </xdr:txBody>
    </xdr:sp>
    <xdr:clientData/>
  </xdr:twoCellAnchor>
  <xdr:twoCellAnchor editAs="oneCell">
    <xdr:from>
      <xdr:col>21</xdr:col>
      <xdr:colOff>303196</xdr:colOff>
      <xdr:row>1</xdr:row>
      <xdr:rowOff>12722</xdr:rowOff>
    </xdr:from>
    <xdr:to>
      <xdr:col>23</xdr:col>
      <xdr:colOff>309814</xdr:colOff>
      <xdr:row>7</xdr:row>
      <xdr:rowOff>149954</xdr:rowOff>
    </xdr:to>
    <xdr:pic>
      <xdr:nvPicPr>
        <xdr:cNvPr id="10" name="Picture 9">
          <a:extLst>
            <a:ext uri="{FF2B5EF4-FFF2-40B4-BE49-F238E27FC236}">
              <a16:creationId xmlns:a16="http://schemas.microsoft.com/office/drawing/2014/main" id="{7857AF41-66B6-8D3B-E5D8-8ED453362F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64285" y="195988"/>
          <a:ext cx="1221959" cy="1236827"/>
        </a:xfrm>
        <a:prstGeom prst="rect">
          <a:avLst/>
        </a:prstGeom>
      </xdr:spPr>
    </xdr:pic>
    <xdr:clientData/>
  </xdr:twoCellAnchor>
  <xdr:twoCellAnchor editAs="oneCell">
    <xdr:from>
      <xdr:col>21</xdr:col>
      <xdr:colOff>97898</xdr:colOff>
      <xdr:row>8</xdr:row>
      <xdr:rowOff>85124</xdr:rowOff>
    </xdr:from>
    <xdr:to>
      <xdr:col>24</xdr:col>
      <xdr:colOff>79435</xdr:colOff>
      <xdr:row>18</xdr:row>
      <xdr:rowOff>1305</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B5D1A79F-CA6C-B480-E355-23C2B92623F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899498" y="1525997"/>
              <a:ext cx="1810337" cy="1717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99031</xdr:colOff>
      <xdr:row>18</xdr:row>
      <xdr:rowOff>63628</xdr:rowOff>
    </xdr:from>
    <xdr:to>
      <xdr:col>24</xdr:col>
      <xdr:colOff>99031</xdr:colOff>
      <xdr:row>25</xdr:row>
      <xdr:rowOff>90983</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028E686-5784-512B-22B7-CB28AE4032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00631" y="3305592"/>
              <a:ext cx="1828800" cy="1288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93880</xdr:colOff>
      <xdr:row>25</xdr:row>
      <xdr:rowOff>149439</xdr:rowOff>
    </xdr:from>
    <xdr:to>
      <xdr:col>24</xdr:col>
      <xdr:colOff>93881</xdr:colOff>
      <xdr:row>36</xdr:row>
      <xdr:rowOff>167068</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DD2E02CC-36ED-4AE6-8B2D-869AA4840B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895480" y="4652166"/>
              <a:ext cx="1828801" cy="199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382834</xdr:colOff>
      <xdr:row>7</xdr:row>
      <xdr:rowOff>165952</xdr:rowOff>
    </xdr:from>
    <xdr:to>
      <xdr:col>28</xdr:col>
      <xdr:colOff>395117</xdr:colOff>
      <xdr:row>12</xdr:row>
      <xdr:rowOff>2591</xdr:rowOff>
    </xdr:to>
    <xdr:sp macro="" textlink="">
      <xdr:nvSpPr>
        <xdr:cNvPr id="20" name="Rectangle: Rounded Corners 19">
          <a:extLst>
            <a:ext uri="{FF2B5EF4-FFF2-40B4-BE49-F238E27FC236}">
              <a16:creationId xmlns:a16="http://schemas.microsoft.com/office/drawing/2014/main" id="{659C9466-F042-4479-8D0A-F339FBBD5D99}"/>
            </a:ext>
          </a:extLst>
        </xdr:cNvPr>
        <xdr:cNvSpPr/>
      </xdr:nvSpPr>
      <xdr:spPr>
        <a:xfrm>
          <a:off x="15064749" y="1443107"/>
          <a:ext cx="2459269"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13440</xdr:colOff>
      <xdr:row>9</xdr:row>
      <xdr:rowOff>110067</xdr:rowOff>
    </xdr:from>
    <xdr:to>
      <xdr:col>28</xdr:col>
      <xdr:colOff>256457</xdr:colOff>
      <xdr:row>11</xdr:row>
      <xdr:rowOff>120650</xdr:rowOff>
    </xdr:to>
    <xdr:sp macro="" textlink="'Product-wise Sales'!E3">
      <xdr:nvSpPr>
        <xdr:cNvPr id="17" name="TextBox 16">
          <a:extLst>
            <a:ext uri="{FF2B5EF4-FFF2-40B4-BE49-F238E27FC236}">
              <a16:creationId xmlns:a16="http://schemas.microsoft.com/office/drawing/2014/main" id="{EBA36804-05B7-3266-4525-AC19F0E4B900}"/>
            </a:ext>
          </a:extLst>
        </xdr:cNvPr>
        <xdr:cNvSpPr txBox="1"/>
      </xdr:nvSpPr>
      <xdr:spPr>
        <a:xfrm>
          <a:off x="15918848" y="1752123"/>
          <a:ext cx="1466510" cy="375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34B630-EAAE-45C4-80A9-F233CAA2BBC1}" type="TxLink">
            <a:rPr lang="en-US" sz="1800" b="1" i="0" u="none" strike="noStrike">
              <a:solidFill>
                <a:srgbClr val="000000"/>
              </a:solidFill>
              <a:latin typeface="Calibri"/>
              <a:ea typeface="Calibri"/>
              <a:cs typeface="Calibri"/>
            </a:rPr>
            <a:pPr/>
            <a:t>₹ 1,392,500</a:t>
          </a:fld>
          <a:endParaRPr lang="en-IN" sz="1800" b="1"/>
        </a:p>
      </xdr:txBody>
    </xdr:sp>
    <xdr:clientData/>
  </xdr:twoCellAnchor>
  <xdr:twoCellAnchor>
    <xdr:from>
      <xdr:col>24</xdr:col>
      <xdr:colOff>375214</xdr:colOff>
      <xdr:row>7</xdr:row>
      <xdr:rowOff>165952</xdr:rowOff>
    </xdr:from>
    <xdr:to>
      <xdr:col>25</xdr:col>
      <xdr:colOff>497134</xdr:colOff>
      <xdr:row>12</xdr:row>
      <xdr:rowOff>2591</xdr:rowOff>
    </xdr:to>
    <xdr:sp macro="" textlink="">
      <xdr:nvSpPr>
        <xdr:cNvPr id="21" name="Rectangle: Rounded Corners 20">
          <a:extLst>
            <a:ext uri="{FF2B5EF4-FFF2-40B4-BE49-F238E27FC236}">
              <a16:creationId xmlns:a16="http://schemas.microsoft.com/office/drawing/2014/main" id="{064F5231-428E-4129-A7EC-5758C93F2B1B}"/>
            </a:ext>
          </a:extLst>
        </xdr:cNvPr>
        <xdr:cNvSpPr/>
      </xdr:nvSpPr>
      <xdr:spPr>
        <a:xfrm>
          <a:off x="15057129" y="1443107"/>
          <a:ext cx="733667"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400010</xdr:colOff>
      <xdr:row>8</xdr:row>
      <xdr:rowOff>72179</xdr:rowOff>
    </xdr:from>
    <xdr:to>
      <xdr:col>25</xdr:col>
      <xdr:colOff>392318</xdr:colOff>
      <xdr:row>11</xdr:row>
      <xdr:rowOff>127892</xdr:rowOff>
    </xdr:to>
    <xdr:pic>
      <xdr:nvPicPr>
        <xdr:cNvPr id="23" name="Graphic 22" descr="Bar graph with upward trend with solid fill">
          <a:extLst>
            <a:ext uri="{FF2B5EF4-FFF2-40B4-BE49-F238E27FC236}">
              <a16:creationId xmlns:a16="http://schemas.microsoft.com/office/drawing/2014/main" id="{661B6C95-6C1B-75A1-35D2-F855B59667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81925" y="1531785"/>
          <a:ext cx="604055" cy="603065"/>
        </a:xfrm>
        <a:prstGeom prst="rect">
          <a:avLst/>
        </a:prstGeom>
      </xdr:spPr>
    </xdr:pic>
    <xdr:clientData/>
  </xdr:twoCellAnchor>
  <xdr:twoCellAnchor>
    <xdr:from>
      <xdr:col>25</xdr:col>
      <xdr:colOff>608130</xdr:colOff>
      <xdr:row>8</xdr:row>
      <xdr:rowOff>8562</xdr:rowOff>
    </xdr:from>
    <xdr:to>
      <xdr:col>27</xdr:col>
      <xdr:colOff>568551</xdr:colOff>
      <xdr:row>9</xdr:row>
      <xdr:rowOff>136989</xdr:rowOff>
    </xdr:to>
    <xdr:sp macro="" textlink="">
      <xdr:nvSpPr>
        <xdr:cNvPr id="24" name="TextBox 23">
          <a:extLst>
            <a:ext uri="{FF2B5EF4-FFF2-40B4-BE49-F238E27FC236}">
              <a16:creationId xmlns:a16="http://schemas.microsoft.com/office/drawing/2014/main" id="{74426352-F709-5AC2-E2FE-0C40C63CE4CF}"/>
            </a:ext>
          </a:extLst>
        </xdr:cNvPr>
        <xdr:cNvSpPr txBox="1"/>
      </xdr:nvSpPr>
      <xdr:spPr>
        <a:xfrm>
          <a:off x="15901792" y="1468168"/>
          <a:ext cx="1183914" cy="310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70C0"/>
              </a:solidFill>
            </a:rPr>
            <a:t>TOTAL</a:t>
          </a:r>
          <a:r>
            <a:rPr lang="en-IN" sz="1400" b="1" baseline="0">
              <a:solidFill>
                <a:srgbClr val="0070C0"/>
              </a:solidFill>
            </a:rPr>
            <a:t> SALES</a:t>
          </a:r>
          <a:endParaRPr lang="en-IN" sz="1400" b="1">
            <a:solidFill>
              <a:srgbClr val="0070C0"/>
            </a:solidFill>
          </a:endParaRPr>
        </a:p>
      </xdr:txBody>
    </xdr:sp>
    <xdr:clientData/>
  </xdr:twoCellAnchor>
  <xdr:twoCellAnchor>
    <xdr:from>
      <xdr:col>30</xdr:col>
      <xdr:colOff>444939</xdr:colOff>
      <xdr:row>9</xdr:row>
      <xdr:rowOff>110492</xdr:rowOff>
    </xdr:from>
    <xdr:to>
      <xdr:col>32</xdr:col>
      <xdr:colOff>278994</xdr:colOff>
      <xdr:row>11</xdr:row>
      <xdr:rowOff>121075</xdr:rowOff>
    </xdr:to>
    <xdr:sp macro="" textlink="'Product-wise Sales'!H3">
      <xdr:nvSpPr>
        <xdr:cNvPr id="26" name="TextBox 25">
          <a:extLst>
            <a:ext uri="{FF2B5EF4-FFF2-40B4-BE49-F238E27FC236}">
              <a16:creationId xmlns:a16="http://schemas.microsoft.com/office/drawing/2014/main" id="{F000B087-AD3D-4555-A858-E7438FB476AA}"/>
            </a:ext>
          </a:extLst>
        </xdr:cNvPr>
        <xdr:cNvSpPr txBox="1"/>
      </xdr:nvSpPr>
      <xdr:spPr>
        <a:xfrm>
          <a:off x="18797333" y="1752548"/>
          <a:ext cx="1057548" cy="375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22FED-4529-450A-97C6-AFF2897DA7AE}" type="TxLink">
            <a:rPr lang="en-US" sz="1800" b="1" i="0" u="none" strike="noStrike">
              <a:solidFill>
                <a:srgbClr val="000000"/>
              </a:solidFill>
              <a:latin typeface="Calibri"/>
              <a:ea typeface="Calibri"/>
              <a:cs typeface="Calibri"/>
            </a:rPr>
            <a:pPr/>
            <a:t>27850</a:t>
          </a:fld>
          <a:endParaRPr lang="en-US" sz="1800" b="1" i="0" u="none" strike="noStrike">
            <a:solidFill>
              <a:srgbClr val="000000"/>
            </a:solidFill>
            <a:latin typeface="Calibri"/>
            <a:ea typeface="Calibri"/>
            <a:cs typeface="Calibri"/>
          </a:endParaRPr>
        </a:p>
      </xdr:txBody>
    </xdr:sp>
    <xdr:clientData/>
  </xdr:twoCellAnchor>
  <xdr:twoCellAnchor>
    <xdr:from>
      <xdr:col>30</xdr:col>
      <xdr:colOff>174337</xdr:colOff>
      <xdr:row>8</xdr:row>
      <xdr:rowOff>8987</xdr:rowOff>
    </xdr:from>
    <xdr:to>
      <xdr:col>32</xdr:col>
      <xdr:colOff>317639</xdr:colOff>
      <xdr:row>9</xdr:row>
      <xdr:rowOff>137414</xdr:rowOff>
    </xdr:to>
    <xdr:sp macro="" textlink="">
      <xdr:nvSpPr>
        <xdr:cNvPr id="28" name="TextBox 27">
          <a:extLst>
            <a:ext uri="{FF2B5EF4-FFF2-40B4-BE49-F238E27FC236}">
              <a16:creationId xmlns:a16="http://schemas.microsoft.com/office/drawing/2014/main" id="{509B7B62-5304-4E51-B638-5C2C9FE9B2B9}"/>
            </a:ext>
          </a:extLst>
        </xdr:cNvPr>
        <xdr:cNvSpPr txBox="1"/>
      </xdr:nvSpPr>
      <xdr:spPr>
        <a:xfrm>
          <a:off x="18526731" y="1468593"/>
          <a:ext cx="1366795" cy="310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0070C0"/>
              </a:solidFill>
            </a:rPr>
            <a:t>AVERAGE SALES</a:t>
          </a:r>
          <a:endParaRPr lang="en-IN" sz="1400" b="1">
            <a:solidFill>
              <a:srgbClr val="0070C0"/>
            </a:solidFill>
          </a:endParaRPr>
        </a:p>
      </xdr:txBody>
    </xdr:sp>
    <xdr:clientData/>
  </xdr:twoCellAnchor>
  <xdr:twoCellAnchor>
    <xdr:from>
      <xdr:col>33</xdr:col>
      <xdr:colOff>100387</xdr:colOff>
      <xdr:row>7</xdr:row>
      <xdr:rowOff>166319</xdr:rowOff>
    </xdr:from>
    <xdr:to>
      <xdr:col>37</xdr:col>
      <xdr:colOff>112670</xdr:colOff>
      <xdr:row>12</xdr:row>
      <xdr:rowOff>2958</xdr:rowOff>
    </xdr:to>
    <xdr:sp macro="" textlink="">
      <xdr:nvSpPr>
        <xdr:cNvPr id="30" name="Rectangle: Rounded Corners 29">
          <a:extLst>
            <a:ext uri="{FF2B5EF4-FFF2-40B4-BE49-F238E27FC236}">
              <a16:creationId xmlns:a16="http://schemas.microsoft.com/office/drawing/2014/main" id="{6EF3BB32-FEC4-4B93-A023-4883459B9637}"/>
            </a:ext>
          </a:extLst>
        </xdr:cNvPr>
        <xdr:cNvSpPr/>
      </xdr:nvSpPr>
      <xdr:spPr>
        <a:xfrm>
          <a:off x="20288021" y="1443474"/>
          <a:ext cx="2459269"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102417</xdr:colOff>
      <xdr:row>7</xdr:row>
      <xdr:rowOff>169428</xdr:rowOff>
    </xdr:from>
    <xdr:to>
      <xdr:col>34</xdr:col>
      <xdr:colOff>228885</xdr:colOff>
      <xdr:row>12</xdr:row>
      <xdr:rowOff>6067</xdr:rowOff>
    </xdr:to>
    <xdr:sp macro="" textlink="">
      <xdr:nvSpPr>
        <xdr:cNvPr id="31" name="Rectangle: Rounded Corners 30">
          <a:extLst>
            <a:ext uri="{FF2B5EF4-FFF2-40B4-BE49-F238E27FC236}">
              <a16:creationId xmlns:a16="http://schemas.microsoft.com/office/drawing/2014/main" id="{8514E3BF-A920-49AA-AB25-1B35CADA05D0}"/>
            </a:ext>
          </a:extLst>
        </xdr:cNvPr>
        <xdr:cNvSpPr/>
      </xdr:nvSpPr>
      <xdr:spPr>
        <a:xfrm>
          <a:off x="20290051" y="1446583"/>
          <a:ext cx="738214"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364484</xdr:colOff>
      <xdr:row>8</xdr:row>
      <xdr:rowOff>27555</xdr:rowOff>
    </xdr:from>
    <xdr:to>
      <xdr:col>37</xdr:col>
      <xdr:colOff>78919</xdr:colOff>
      <xdr:row>9</xdr:row>
      <xdr:rowOff>155982</xdr:rowOff>
    </xdr:to>
    <xdr:sp macro="" textlink="">
      <xdr:nvSpPr>
        <xdr:cNvPr id="32" name="TextBox 31">
          <a:extLst>
            <a:ext uri="{FF2B5EF4-FFF2-40B4-BE49-F238E27FC236}">
              <a16:creationId xmlns:a16="http://schemas.microsoft.com/office/drawing/2014/main" id="{5E052745-FCBB-44A9-A2DC-DCDA6C0998B5}"/>
            </a:ext>
          </a:extLst>
        </xdr:cNvPr>
        <xdr:cNvSpPr txBox="1"/>
      </xdr:nvSpPr>
      <xdr:spPr>
        <a:xfrm>
          <a:off x="21163864" y="1487161"/>
          <a:ext cx="1549675" cy="310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0070C0"/>
              </a:solidFill>
            </a:rPr>
            <a:t>PRODUCT  COUNT </a:t>
          </a:r>
          <a:endParaRPr lang="en-IN" sz="1400" b="1">
            <a:solidFill>
              <a:srgbClr val="0070C0"/>
            </a:solidFill>
          </a:endParaRPr>
        </a:p>
      </xdr:txBody>
    </xdr:sp>
    <xdr:clientData/>
  </xdr:twoCellAnchor>
  <xdr:twoCellAnchor>
    <xdr:from>
      <xdr:col>35</xdr:col>
      <xdr:colOff>262819</xdr:colOff>
      <xdr:row>9</xdr:row>
      <xdr:rowOff>105413</xdr:rowOff>
    </xdr:from>
    <xdr:to>
      <xdr:col>36</xdr:col>
      <xdr:colOff>238604</xdr:colOff>
      <xdr:row>11</xdr:row>
      <xdr:rowOff>115996</xdr:rowOff>
    </xdr:to>
    <xdr:sp macro="" textlink="Sheet9!E3">
      <xdr:nvSpPr>
        <xdr:cNvPr id="33" name="TextBox 32">
          <a:extLst>
            <a:ext uri="{FF2B5EF4-FFF2-40B4-BE49-F238E27FC236}">
              <a16:creationId xmlns:a16="http://schemas.microsoft.com/office/drawing/2014/main" id="{F546C41A-22ED-43C9-B180-8A8C0192ECFD}"/>
            </a:ext>
          </a:extLst>
        </xdr:cNvPr>
        <xdr:cNvSpPr txBox="1"/>
      </xdr:nvSpPr>
      <xdr:spPr>
        <a:xfrm>
          <a:off x="21673946" y="1747469"/>
          <a:ext cx="587531" cy="375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FE2EB6-2813-4E1E-9F37-B985452EA939}" type="TxLink">
            <a:rPr lang="en-US" sz="1800" b="1" i="0" u="none" strike="noStrike">
              <a:solidFill>
                <a:srgbClr val="000000"/>
              </a:solidFill>
              <a:latin typeface="Calibri"/>
              <a:ea typeface="Calibri"/>
              <a:cs typeface="Calibri"/>
            </a:rPr>
            <a:pPr/>
            <a:t>50</a:t>
          </a:fld>
          <a:endParaRPr lang="en-US" sz="1800" b="1" i="0" u="none" strike="noStrike">
            <a:solidFill>
              <a:srgbClr val="000000"/>
            </a:solidFill>
            <a:latin typeface="Calibri"/>
            <a:ea typeface="Calibri"/>
            <a:cs typeface="Calibri"/>
          </a:endParaRPr>
        </a:p>
      </xdr:txBody>
    </xdr:sp>
    <xdr:clientData/>
  </xdr:twoCellAnchor>
  <xdr:twoCellAnchor editAs="oneCell">
    <xdr:from>
      <xdr:col>28</xdr:col>
      <xdr:colOff>574911</xdr:colOff>
      <xdr:row>8</xdr:row>
      <xdr:rowOff>37725</xdr:rowOff>
    </xdr:from>
    <xdr:to>
      <xdr:col>29</xdr:col>
      <xdr:colOff>561833</xdr:colOff>
      <xdr:row>11</xdr:row>
      <xdr:rowOff>96944</xdr:rowOff>
    </xdr:to>
    <xdr:pic>
      <xdr:nvPicPr>
        <xdr:cNvPr id="35" name="Graphic 34" descr="Database with solid fill">
          <a:extLst>
            <a:ext uri="{FF2B5EF4-FFF2-40B4-BE49-F238E27FC236}">
              <a16:creationId xmlns:a16="http://schemas.microsoft.com/office/drawing/2014/main" id="{43B87E4C-2599-24AE-3CD8-5AA57AC8CE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703812" y="1497331"/>
          <a:ext cx="598669" cy="606571"/>
        </a:xfrm>
        <a:prstGeom prst="rect">
          <a:avLst/>
        </a:prstGeom>
      </xdr:spPr>
    </xdr:pic>
    <xdr:clientData/>
  </xdr:twoCellAnchor>
  <xdr:twoCellAnchor editAs="oneCell">
    <xdr:from>
      <xdr:col>33</xdr:col>
      <xdr:colOff>149989</xdr:colOff>
      <xdr:row>8</xdr:row>
      <xdr:rowOff>36286</xdr:rowOff>
    </xdr:from>
    <xdr:to>
      <xdr:col>34</xdr:col>
      <xdr:colOff>143892</xdr:colOff>
      <xdr:row>11</xdr:row>
      <xdr:rowOff>95505</xdr:rowOff>
    </xdr:to>
    <xdr:pic>
      <xdr:nvPicPr>
        <xdr:cNvPr id="37" name="Graphic 36" descr="Shopping cart with solid fill">
          <a:extLst>
            <a:ext uri="{FF2B5EF4-FFF2-40B4-BE49-F238E27FC236}">
              <a16:creationId xmlns:a16="http://schemas.microsoft.com/office/drawing/2014/main" id="{7C0E7BCC-E8A0-7469-CF31-668AC00043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337623" y="1495892"/>
          <a:ext cx="605649" cy="606571"/>
        </a:xfrm>
        <a:prstGeom prst="rect">
          <a:avLst/>
        </a:prstGeom>
      </xdr:spPr>
    </xdr:pic>
    <xdr:clientData/>
  </xdr:twoCellAnchor>
  <xdr:twoCellAnchor>
    <xdr:from>
      <xdr:col>37</xdr:col>
      <xdr:colOff>244069</xdr:colOff>
      <xdr:row>7</xdr:row>
      <xdr:rowOff>162955</xdr:rowOff>
    </xdr:from>
    <xdr:to>
      <xdr:col>42</xdr:col>
      <xdr:colOff>29308</xdr:colOff>
      <xdr:row>11</xdr:row>
      <xdr:rowOff>182044</xdr:rowOff>
    </xdr:to>
    <xdr:sp macro="" textlink="">
      <xdr:nvSpPr>
        <xdr:cNvPr id="38" name="Rectangle: Rounded Corners 37">
          <a:extLst>
            <a:ext uri="{FF2B5EF4-FFF2-40B4-BE49-F238E27FC236}">
              <a16:creationId xmlns:a16="http://schemas.microsoft.com/office/drawing/2014/main" id="{0470837B-2991-40EB-9D69-DEAEEC2355C1}"/>
            </a:ext>
          </a:extLst>
        </xdr:cNvPr>
        <xdr:cNvSpPr/>
      </xdr:nvSpPr>
      <xdr:spPr>
        <a:xfrm>
          <a:off x="22654684" y="1462263"/>
          <a:ext cx="2813701" cy="761550"/>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246100</xdr:colOff>
      <xdr:row>7</xdr:row>
      <xdr:rowOff>166064</xdr:rowOff>
    </xdr:from>
    <xdr:to>
      <xdr:col>38</xdr:col>
      <xdr:colOff>372568</xdr:colOff>
      <xdr:row>12</xdr:row>
      <xdr:rowOff>2703</xdr:rowOff>
    </xdr:to>
    <xdr:sp macro="" textlink="">
      <xdr:nvSpPr>
        <xdr:cNvPr id="39" name="Rectangle: Rounded Corners 38">
          <a:extLst>
            <a:ext uri="{FF2B5EF4-FFF2-40B4-BE49-F238E27FC236}">
              <a16:creationId xmlns:a16="http://schemas.microsoft.com/office/drawing/2014/main" id="{77907765-B7E9-49E4-8D77-558CC731E4CD}"/>
            </a:ext>
          </a:extLst>
        </xdr:cNvPr>
        <xdr:cNvSpPr/>
      </xdr:nvSpPr>
      <xdr:spPr>
        <a:xfrm>
          <a:off x="22880720" y="1443219"/>
          <a:ext cx="738214" cy="748892"/>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508167</xdr:colOff>
      <xdr:row>8</xdr:row>
      <xdr:rowOff>24191</xdr:rowOff>
    </xdr:from>
    <xdr:to>
      <xdr:col>41</xdr:col>
      <xdr:colOff>222602</xdr:colOff>
      <xdr:row>9</xdr:row>
      <xdr:rowOff>152618</xdr:rowOff>
    </xdr:to>
    <xdr:sp macro="" textlink="">
      <xdr:nvSpPr>
        <xdr:cNvPr id="40" name="TextBox 39">
          <a:extLst>
            <a:ext uri="{FF2B5EF4-FFF2-40B4-BE49-F238E27FC236}">
              <a16:creationId xmlns:a16="http://schemas.microsoft.com/office/drawing/2014/main" id="{212E8236-2759-4048-8BEB-945EF9C34310}"/>
            </a:ext>
          </a:extLst>
        </xdr:cNvPr>
        <xdr:cNvSpPr txBox="1"/>
      </xdr:nvSpPr>
      <xdr:spPr>
        <a:xfrm>
          <a:off x="23754533" y="1483797"/>
          <a:ext cx="1549675" cy="310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0070C0"/>
              </a:solidFill>
            </a:rPr>
            <a:t>PRODUCT  PRICE </a:t>
          </a:r>
          <a:endParaRPr lang="en-IN" sz="1400" b="1">
            <a:solidFill>
              <a:srgbClr val="0070C0"/>
            </a:solidFill>
          </a:endParaRPr>
        </a:p>
      </xdr:txBody>
    </xdr:sp>
    <xdr:clientData/>
  </xdr:twoCellAnchor>
  <xdr:twoCellAnchor>
    <xdr:from>
      <xdr:col>39</xdr:col>
      <xdr:colOff>177164</xdr:colOff>
      <xdr:row>9</xdr:row>
      <xdr:rowOff>102049</xdr:rowOff>
    </xdr:from>
    <xdr:to>
      <xdr:col>40</xdr:col>
      <xdr:colOff>484923</xdr:colOff>
      <xdr:row>11</xdr:row>
      <xdr:rowOff>112632</xdr:rowOff>
    </xdr:to>
    <xdr:sp macro="" textlink="Sheet9!H3">
      <xdr:nvSpPr>
        <xdr:cNvPr id="41" name="TextBox 40">
          <a:extLst>
            <a:ext uri="{FF2B5EF4-FFF2-40B4-BE49-F238E27FC236}">
              <a16:creationId xmlns:a16="http://schemas.microsoft.com/office/drawing/2014/main" id="{D3C202C0-65D3-477C-AE4E-67A59BEBF7A9}"/>
            </a:ext>
          </a:extLst>
        </xdr:cNvPr>
        <xdr:cNvSpPr txBox="1"/>
      </xdr:nvSpPr>
      <xdr:spPr>
        <a:xfrm>
          <a:off x="24035277" y="1744105"/>
          <a:ext cx="919505" cy="375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88A533-DE04-4599-821A-EF13D3153738}" type="TxLink">
            <a:rPr lang="en-US" sz="1800" b="1" i="0" u="none" strike="noStrike">
              <a:solidFill>
                <a:srgbClr val="000000"/>
              </a:solidFill>
              <a:latin typeface="Calibri"/>
              <a:ea typeface="Calibri"/>
              <a:cs typeface="Calibri"/>
            </a:rPr>
            <a:pPr/>
            <a:t>555600</a:t>
          </a:fld>
          <a:endParaRPr lang="en-US" sz="1800" b="1" i="0" u="none" strike="noStrike">
            <a:solidFill>
              <a:srgbClr val="000000"/>
            </a:solidFill>
            <a:latin typeface="Calibri"/>
            <a:ea typeface="Calibri"/>
            <a:cs typeface="Calibri"/>
          </a:endParaRPr>
        </a:p>
      </xdr:txBody>
    </xdr:sp>
    <xdr:clientData/>
  </xdr:twoCellAnchor>
  <xdr:twoCellAnchor>
    <xdr:from>
      <xdr:col>33</xdr:col>
      <xdr:colOff>543644</xdr:colOff>
      <xdr:row>13</xdr:row>
      <xdr:rowOff>45360</xdr:rowOff>
    </xdr:from>
    <xdr:to>
      <xdr:col>42</xdr:col>
      <xdr:colOff>40105</xdr:colOff>
      <xdr:row>28</xdr:row>
      <xdr:rowOff>171563</xdr:rowOff>
    </xdr:to>
    <xdr:sp macro="" textlink="">
      <xdr:nvSpPr>
        <xdr:cNvPr id="43" name="Rectangle: Rounded Corners 42">
          <a:extLst>
            <a:ext uri="{FF2B5EF4-FFF2-40B4-BE49-F238E27FC236}">
              <a16:creationId xmlns:a16="http://schemas.microsoft.com/office/drawing/2014/main" id="{FC0CAF1D-7A47-42F9-A20F-262ECCE29606}"/>
            </a:ext>
          </a:extLst>
        </xdr:cNvPr>
        <xdr:cNvSpPr/>
      </xdr:nvSpPr>
      <xdr:spPr>
        <a:xfrm>
          <a:off x="20726618" y="2391518"/>
          <a:ext cx="5000908" cy="2833308"/>
        </a:xfrm>
        <a:prstGeom prst="roundRect">
          <a:avLst>
            <a:gd name="adj" fmla="val 436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467845</xdr:colOff>
      <xdr:row>29</xdr:row>
      <xdr:rowOff>185526</xdr:rowOff>
    </xdr:from>
    <xdr:to>
      <xdr:col>41</xdr:col>
      <xdr:colOff>508346</xdr:colOff>
      <xdr:row>47</xdr:row>
      <xdr:rowOff>99935</xdr:rowOff>
    </xdr:to>
    <xdr:graphicFrame macro="">
      <xdr:nvGraphicFramePr>
        <xdr:cNvPr id="7" name="Chart 6">
          <a:extLst>
            <a:ext uri="{FF2B5EF4-FFF2-40B4-BE49-F238E27FC236}">
              <a16:creationId xmlns:a16="http://schemas.microsoft.com/office/drawing/2014/main" id="{B0A51F22-1967-471B-9186-64A85258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605401</xdr:colOff>
      <xdr:row>13</xdr:row>
      <xdr:rowOff>142379</xdr:rowOff>
    </xdr:from>
    <xdr:to>
      <xdr:col>41</xdr:col>
      <xdr:colOff>561474</xdr:colOff>
      <xdr:row>28</xdr:row>
      <xdr:rowOff>93322</xdr:rowOff>
    </xdr:to>
    <xdr:graphicFrame macro="">
      <xdr:nvGraphicFramePr>
        <xdr:cNvPr id="6" name="Chart 5">
          <a:extLst>
            <a:ext uri="{FF2B5EF4-FFF2-40B4-BE49-F238E27FC236}">
              <a16:creationId xmlns:a16="http://schemas.microsoft.com/office/drawing/2014/main" id="{EF823368-EA80-41BD-89F6-2F28FA948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37</xdr:col>
      <xdr:colOff>287130</xdr:colOff>
      <xdr:row>8</xdr:row>
      <xdr:rowOff>55219</xdr:rowOff>
    </xdr:from>
    <xdr:to>
      <xdr:col>38</xdr:col>
      <xdr:colOff>283242</xdr:colOff>
      <xdr:row>11</xdr:row>
      <xdr:rowOff>95506</xdr:rowOff>
    </xdr:to>
    <xdr:pic>
      <xdr:nvPicPr>
        <xdr:cNvPr id="46" name="Graphic 45" descr="Upward trend with solid fill">
          <a:extLst>
            <a:ext uri="{FF2B5EF4-FFF2-40B4-BE49-F238E27FC236}">
              <a16:creationId xmlns:a16="http://schemas.microsoft.com/office/drawing/2014/main" id="{332569C4-1C7B-0E69-60B9-07752B0B9E5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760608" y="1557132"/>
          <a:ext cx="603504" cy="603504"/>
        </a:xfrm>
        <a:prstGeom prst="rect">
          <a:avLst/>
        </a:prstGeom>
      </xdr:spPr>
    </xdr:pic>
    <xdr:clientData/>
  </xdr:twoCellAnchor>
  <xdr:twoCellAnchor editAs="oneCell">
    <xdr:from>
      <xdr:col>21</xdr:col>
      <xdr:colOff>118242</xdr:colOff>
      <xdr:row>37</xdr:row>
      <xdr:rowOff>170794</xdr:rowOff>
    </xdr:from>
    <xdr:to>
      <xdr:col>24</xdr:col>
      <xdr:colOff>134007</xdr:colOff>
      <xdr:row>47</xdr:row>
      <xdr:rowOff>90237</xdr:rowOff>
    </xdr:to>
    <mc:AlternateContent xmlns:mc="http://schemas.openxmlformats.org/markup-compatibility/2006" xmlns:a14="http://schemas.microsoft.com/office/drawing/2010/main">
      <mc:Choice Requires="a14">
        <xdr:graphicFrame macro="">
          <xdr:nvGraphicFramePr>
            <xdr:cNvPr id="47" name="Date">
              <a:extLst>
                <a:ext uri="{FF2B5EF4-FFF2-40B4-BE49-F238E27FC236}">
                  <a16:creationId xmlns:a16="http://schemas.microsoft.com/office/drawing/2014/main" id="{3B559321-7234-486B-9432-9DF790EC777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919842" y="6834830"/>
              <a:ext cx="1844565" cy="1720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 Analysis" refreshedDate="45995.984899884257" createdVersion="8" refreshedVersion="8" minRefreshableVersion="3" recordCount="50" xr:uid="{80316B1F-2612-40E5-8640-A12C11A68C55}">
  <cacheSource type="worksheet">
    <worksheetSource ref="A1:I51" sheet="Sales_Data"/>
  </cacheSource>
  <cacheFields count="11">
    <cacheField name="Date" numFmtId="164">
      <sharedItems containsSemiMixedTypes="0" containsNonDate="0" containsDate="1" containsString="0" minDate="2024-01-11T00:00:00" maxDate="2024-03-01T00:00:00" count="5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fieldGroup par="10"/>
    </cacheField>
    <cacheField name="Order_ID" numFmtId="0">
      <sharedItems/>
    </cacheField>
    <cacheField name="Customer_Name" numFmtId="0">
      <sharedItems/>
    </cacheField>
    <cacheField name="Product" numFmtId="0">
      <sharedItems count="6">
        <s v="Mobile"/>
        <s v="T-Shirt"/>
        <s v="Watch"/>
        <s v="Shoes"/>
        <s v="Laptop"/>
        <s v="Headphones"/>
      </sharedItems>
    </cacheField>
    <cacheField name="Category" numFmtId="0">
      <sharedItems count="3">
        <s v="Electronics"/>
        <s v="Fashion"/>
        <s v="Accessories"/>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600" maxValue="45000"/>
    </cacheField>
    <cacheField name="Total_Sales" numFmtId="0">
      <sharedItems containsSemiMixedTypes="0" containsString="0" containsNumber="1" containsInteger="1" minValue="600" maxValue="180000"/>
    </cacheField>
    <cacheField name="State" numFmtId="0">
      <sharedItems count="5">
        <s v="Rajasthan"/>
        <s v="Maharashtra"/>
        <s v="Gujarat"/>
        <s v="Delhi"/>
        <s v="Karnataka"/>
      </sharedItems>
    </cacheField>
    <cacheField name="Days (Date)" numFmtId="0" databaseField="0">
      <fieldGroup base="0">
        <rangePr groupBy="days" startDate="2024-01-11T00:00:00" endDate="2024-03-01T00:00:00"/>
        <groupItems count="368">
          <s v="&lt;1/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2024"/>
        </groupItems>
      </fieldGroup>
    </cacheField>
    <cacheField name="Months (Date)" numFmtId="0" databaseField="0">
      <fieldGroup base="0">
        <rangePr groupBy="months" startDate="2024-01-11T00:00:00" endDate="2024-03-01T00:00:00"/>
        <groupItems count="14">
          <s v="&lt;1/11/2024"/>
          <s v="Jan"/>
          <s v="Feb"/>
          <s v="Mar"/>
          <s v="Apr"/>
          <s v="May"/>
          <s v="Jun"/>
          <s v="Jul"/>
          <s v="Aug"/>
          <s v="Sep"/>
          <s v="Oct"/>
          <s v="Nov"/>
          <s v="Dec"/>
          <s v="&gt;3/1/2024"/>
        </groupItems>
      </fieldGroup>
    </cacheField>
  </cacheFields>
  <extLst>
    <ext xmlns:x14="http://schemas.microsoft.com/office/spreadsheetml/2009/9/main" uri="{725AE2AE-9491-48be-B2B4-4EB974FC3084}">
      <x14:pivotCacheDefinition pivotCacheId="432741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ORD1001"/>
    <s v="Neha"/>
    <x v="0"/>
    <x v="0"/>
    <n v="2"/>
    <n v="12000"/>
    <n v="24000"/>
    <x v="0"/>
  </r>
  <r>
    <x v="1"/>
    <s v="ORD1002"/>
    <s v="Aman"/>
    <x v="1"/>
    <x v="1"/>
    <n v="1"/>
    <n v="600"/>
    <n v="600"/>
    <x v="1"/>
  </r>
  <r>
    <x v="2"/>
    <s v="ORD1003"/>
    <s v="Priya"/>
    <x v="2"/>
    <x v="2"/>
    <n v="2"/>
    <n v="1800"/>
    <n v="3600"/>
    <x v="2"/>
  </r>
  <r>
    <x v="3"/>
    <s v="ORD1004"/>
    <s v="Anil"/>
    <x v="3"/>
    <x v="1"/>
    <n v="4"/>
    <n v="2200"/>
    <n v="8800"/>
    <x v="1"/>
  </r>
  <r>
    <x v="4"/>
    <s v="ORD1005"/>
    <s v="Meena"/>
    <x v="1"/>
    <x v="1"/>
    <n v="4"/>
    <n v="600"/>
    <n v="2400"/>
    <x v="3"/>
  </r>
  <r>
    <x v="5"/>
    <s v="ORD1006"/>
    <s v="Neha"/>
    <x v="4"/>
    <x v="0"/>
    <n v="2"/>
    <n v="45000"/>
    <n v="90000"/>
    <x v="2"/>
  </r>
  <r>
    <x v="6"/>
    <s v="ORD1007"/>
    <s v="Aman"/>
    <x v="3"/>
    <x v="1"/>
    <n v="4"/>
    <n v="2200"/>
    <n v="8800"/>
    <x v="2"/>
  </r>
  <r>
    <x v="7"/>
    <s v="ORD1008"/>
    <s v="Vikas"/>
    <x v="5"/>
    <x v="2"/>
    <n v="1"/>
    <n v="1500"/>
    <n v="1500"/>
    <x v="3"/>
  </r>
  <r>
    <x v="8"/>
    <s v="ORD1009"/>
    <s v="Meena"/>
    <x v="3"/>
    <x v="1"/>
    <n v="5"/>
    <n v="2200"/>
    <n v="11000"/>
    <x v="4"/>
  </r>
  <r>
    <x v="9"/>
    <s v="ORD1010"/>
    <s v="Meena"/>
    <x v="2"/>
    <x v="2"/>
    <n v="3"/>
    <n v="1800"/>
    <n v="5400"/>
    <x v="0"/>
  </r>
  <r>
    <x v="10"/>
    <s v="ORD1011"/>
    <s v="Vikas"/>
    <x v="5"/>
    <x v="2"/>
    <n v="5"/>
    <n v="1500"/>
    <n v="7500"/>
    <x v="3"/>
  </r>
  <r>
    <x v="11"/>
    <s v="ORD1012"/>
    <s v="Priya"/>
    <x v="4"/>
    <x v="0"/>
    <n v="1"/>
    <n v="45000"/>
    <n v="45000"/>
    <x v="0"/>
  </r>
  <r>
    <x v="12"/>
    <s v="ORD1013"/>
    <s v="Rohit"/>
    <x v="0"/>
    <x v="0"/>
    <n v="3"/>
    <n v="12000"/>
    <n v="36000"/>
    <x v="0"/>
  </r>
  <r>
    <x v="13"/>
    <s v="ORD1014"/>
    <s v="Meena"/>
    <x v="3"/>
    <x v="1"/>
    <n v="2"/>
    <n v="2200"/>
    <n v="4400"/>
    <x v="1"/>
  </r>
  <r>
    <x v="14"/>
    <s v="ORD1015"/>
    <s v="Anil"/>
    <x v="2"/>
    <x v="2"/>
    <n v="3"/>
    <n v="1800"/>
    <n v="5400"/>
    <x v="4"/>
  </r>
  <r>
    <x v="15"/>
    <s v="ORD1016"/>
    <s v="Aman"/>
    <x v="4"/>
    <x v="0"/>
    <n v="2"/>
    <n v="45000"/>
    <n v="90000"/>
    <x v="4"/>
  </r>
  <r>
    <x v="16"/>
    <s v="ORD1017"/>
    <s v="Meena"/>
    <x v="2"/>
    <x v="2"/>
    <n v="1"/>
    <n v="1800"/>
    <n v="1800"/>
    <x v="2"/>
  </r>
  <r>
    <x v="17"/>
    <s v="ORD1018"/>
    <s v="Neha"/>
    <x v="3"/>
    <x v="1"/>
    <n v="2"/>
    <n v="2200"/>
    <n v="4400"/>
    <x v="3"/>
  </r>
  <r>
    <x v="18"/>
    <s v="ORD1019"/>
    <s v="Meena"/>
    <x v="1"/>
    <x v="1"/>
    <n v="4"/>
    <n v="600"/>
    <n v="2400"/>
    <x v="1"/>
  </r>
  <r>
    <x v="19"/>
    <s v="ORD1020"/>
    <s v="Neha"/>
    <x v="3"/>
    <x v="1"/>
    <n v="2"/>
    <n v="2200"/>
    <n v="4400"/>
    <x v="4"/>
  </r>
  <r>
    <x v="20"/>
    <s v="ORD1021"/>
    <s v="Neha"/>
    <x v="5"/>
    <x v="2"/>
    <n v="4"/>
    <n v="1500"/>
    <n v="6000"/>
    <x v="4"/>
  </r>
  <r>
    <x v="21"/>
    <s v="ORD1022"/>
    <s v="Anil"/>
    <x v="3"/>
    <x v="1"/>
    <n v="3"/>
    <n v="2200"/>
    <n v="6600"/>
    <x v="2"/>
  </r>
  <r>
    <x v="22"/>
    <s v="ORD1023"/>
    <s v="Aman"/>
    <x v="1"/>
    <x v="1"/>
    <n v="3"/>
    <n v="600"/>
    <n v="1800"/>
    <x v="4"/>
  </r>
  <r>
    <x v="23"/>
    <s v="ORD1024"/>
    <s v="Neha"/>
    <x v="5"/>
    <x v="2"/>
    <n v="1"/>
    <n v="1500"/>
    <n v="1500"/>
    <x v="0"/>
  </r>
  <r>
    <x v="24"/>
    <s v="ORD1025"/>
    <s v="Priya"/>
    <x v="4"/>
    <x v="0"/>
    <n v="1"/>
    <n v="45000"/>
    <n v="45000"/>
    <x v="3"/>
  </r>
  <r>
    <x v="25"/>
    <s v="ORD1026"/>
    <s v="Priya"/>
    <x v="2"/>
    <x v="2"/>
    <n v="5"/>
    <n v="1800"/>
    <n v="9000"/>
    <x v="0"/>
  </r>
  <r>
    <x v="26"/>
    <s v="ORD1027"/>
    <s v="Neha"/>
    <x v="1"/>
    <x v="1"/>
    <n v="5"/>
    <n v="600"/>
    <n v="3000"/>
    <x v="0"/>
  </r>
  <r>
    <x v="27"/>
    <s v="ORD1028"/>
    <s v="Neha"/>
    <x v="2"/>
    <x v="2"/>
    <n v="4"/>
    <n v="1800"/>
    <n v="7200"/>
    <x v="2"/>
  </r>
  <r>
    <x v="28"/>
    <s v="ORD1029"/>
    <s v="Aman"/>
    <x v="5"/>
    <x v="2"/>
    <n v="1"/>
    <n v="1500"/>
    <n v="1500"/>
    <x v="4"/>
  </r>
  <r>
    <x v="29"/>
    <s v="ORD1030"/>
    <s v="Priya"/>
    <x v="2"/>
    <x v="2"/>
    <n v="3"/>
    <n v="1800"/>
    <n v="5400"/>
    <x v="4"/>
  </r>
  <r>
    <x v="30"/>
    <s v="ORD1031"/>
    <s v="Priya"/>
    <x v="4"/>
    <x v="0"/>
    <n v="2"/>
    <n v="45000"/>
    <n v="90000"/>
    <x v="3"/>
  </r>
  <r>
    <x v="31"/>
    <s v="ORD1032"/>
    <s v="Anil"/>
    <x v="5"/>
    <x v="2"/>
    <n v="5"/>
    <n v="1500"/>
    <n v="7500"/>
    <x v="3"/>
  </r>
  <r>
    <x v="32"/>
    <s v="ORD1033"/>
    <s v="Aman"/>
    <x v="3"/>
    <x v="1"/>
    <n v="2"/>
    <n v="2200"/>
    <n v="4400"/>
    <x v="0"/>
  </r>
  <r>
    <x v="33"/>
    <s v="ORD1034"/>
    <s v="Anil"/>
    <x v="5"/>
    <x v="2"/>
    <n v="1"/>
    <n v="1500"/>
    <n v="1500"/>
    <x v="2"/>
  </r>
  <r>
    <x v="34"/>
    <s v="ORD1035"/>
    <s v="Aman"/>
    <x v="0"/>
    <x v="0"/>
    <n v="4"/>
    <n v="12000"/>
    <n v="48000"/>
    <x v="3"/>
  </r>
  <r>
    <x v="35"/>
    <s v="ORD1036"/>
    <s v="Aman"/>
    <x v="0"/>
    <x v="0"/>
    <n v="5"/>
    <n v="12000"/>
    <n v="60000"/>
    <x v="3"/>
  </r>
  <r>
    <x v="36"/>
    <s v="ORD1037"/>
    <s v="Neha"/>
    <x v="5"/>
    <x v="2"/>
    <n v="1"/>
    <n v="1500"/>
    <n v="1500"/>
    <x v="3"/>
  </r>
  <r>
    <x v="37"/>
    <s v="ORD1038"/>
    <s v="Priya"/>
    <x v="0"/>
    <x v="0"/>
    <n v="5"/>
    <n v="12000"/>
    <n v="60000"/>
    <x v="0"/>
  </r>
  <r>
    <x v="38"/>
    <s v="ORD1039"/>
    <s v="Priya"/>
    <x v="0"/>
    <x v="0"/>
    <n v="4"/>
    <n v="12000"/>
    <n v="48000"/>
    <x v="2"/>
  </r>
  <r>
    <x v="39"/>
    <s v="ORD1040"/>
    <s v="Rohit"/>
    <x v="4"/>
    <x v="0"/>
    <n v="4"/>
    <n v="45000"/>
    <n v="180000"/>
    <x v="3"/>
  </r>
  <r>
    <x v="40"/>
    <s v="ORD1041"/>
    <s v="Priya"/>
    <x v="4"/>
    <x v="0"/>
    <n v="4"/>
    <n v="45000"/>
    <n v="180000"/>
    <x v="0"/>
  </r>
  <r>
    <x v="41"/>
    <s v="ORD1042"/>
    <s v="Meena"/>
    <x v="0"/>
    <x v="0"/>
    <n v="2"/>
    <n v="12000"/>
    <n v="24000"/>
    <x v="4"/>
  </r>
  <r>
    <x v="42"/>
    <s v="ORD1043"/>
    <s v="Vikas"/>
    <x v="3"/>
    <x v="1"/>
    <n v="3"/>
    <n v="2200"/>
    <n v="6600"/>
    <x v="3"/>
  </r>
  <r>
    <x v="43"/>
    <s v="ORD1044"/>
    <s v="Anil"/>
    <x v="1"/>
    <x v="1"/>
    <n v="3"/>
    <n v="600"/>
    <n v="1800"/>
    <x v="1"/>
  </r>
  <r>
    <x v="44"/>
    <s v="ORD1045"/>
    <s v="Rohit"/>
    <x v="3"/>
    <x v="1"/>
    <n v="5"/>
    <n v="2200"/>
    <n v="11000"/>
    <x v="1"/>
  </r>
  <r>
    <x v="45"/>
    <s v="ORD1046"/>
    <s v="Anil"/>
    <x v="4"/>
    <x v="0"/>
    <n v="3"/>
    <n v="45000"/>
    <n v="135000"/>
    <x v="2"/>
  </r>
  <r>
    <x v="46"/>
    <s v="ORD1047"/>
    <s v="Rohit"/>
    <x v="3"/>
    <x v="1"/>
    <n v="5"/>
    <n v="2200"/>
    <n v="11000"/>
    <x v="2"/>
  </r>
  <r>
    <x v="47"/>
    <s v="ORD1048"/>
    <s v="Meena"/>
    <x v="0"/>
    <x v="0"/>
    <n v="2"/>
    <n v="12000"/>
    <n v="24000"/>
    <x v="1"/>
  </r>
  <r>
    <x v="48"/>
    <s v="ORD1049"/>
    <s v="Vikas"/>
    <x v="3"/>
    <x v="1"/>
    <n v="4"/>
    <n v="2200"/>
    <n v="8800"/>
    <x v="4"/>
  </r>
  <r>
    <x v="49"/>
    <s v="ORD1050"/>
    <s v="Aman"/>
    <x v="4"/>
    <x v="0"/>
    <n v="1"/>
    <n v="45000"/>
    <n v="45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92128-37AD-44D7-A40F-7367F9B03D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7">
        <item x="5"/>
        <item x="4"/>
        <item x="0"/>
        <item x="3"/>
        <item x="1"/>
        <item x="2"/>
        <item t="default"/>
      </items>
    </pivotField>
    <pivotField axis="axisRow" showAll="0">
      <items count="4">
        <item x="2"/>
        <item x="0"/>
        <item x="1"/>
        <item t="default"/>
      </items>
    </pivotField>
    <pivotField showAll="0"/>
    <pivotField showAll="0"/>
    <pivotField dataField="1" showAll="0"/>
    <pivotField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Total_Sales" fld="7" baseField="4"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C577C-3C3B-47DC-BCCD-1370EC5373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 firstHeaderRow="1" firstDataRow="1" firstDataCol="1"/>
  <pivotFields count="11">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7">
        <item x="5"/>
        <item x="4"/>
        <item x="0"/>
        <item x="3"/>
        <item x="1"/>
        <item x="2"/>
        <item t="default"/>
      </items>
    </pivotField>
    <pivotField showAll="0">
      <items count="4">
        <item x="2"/>
        <item x="0"/>
        <item x="1"/>
        <item t="default"/>
      </items>
    </pivotField>
    <pivotField showAll="0"/>
    <pivotField showAll="0"/>
    <pivotField dataField="1" showAll="0"/>
    <pivotField showAll="0">
      <items count="6">
        <item x="3"/>
        <item x="2"/>
        <item x="4"/>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3">
    <field x="10"/>
    <field x="9"/>
    <field x="0"/>
  </rowFields>
  <rowItems count="24">
    <i>
      <x v="1"/>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t="grand">
      <x/>
    </i>
  </rowItems>
  <colItems count="1">
    <i/>
  </colItems>
  <dataFields count="1">
    <dataField name="Sum of Total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8513A7-CA48-4DCB-96B7-414BEC5FCD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0" firstHeaderRow="0"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7">
        <item x="5"/>
        <item x="4"/>
        <item x="0"/>
        <item x="3"/>
        <item x="1"/>
        <item x="2"/>
        <item t="default"/>
      </items>
    </pivotField>
    <pivotField showAll="0">
      <items count="4">
        <item x="2"/>
        <item x="0"/>
        <item x="1"/>
        <item t="default"/>
      </items>
    </pivotField>
    <pivotField showAll="0"/>
    <pivotField showAll="0"/>
    <pivotField dataField="1" showAll="0"/>
    <pivotField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Total_Sales" fld="7" baseField="0" baseItem="0"/>
    <dataField name="Average of Total_Sales2" fld="7" subtotal="average" baseField="0" baseItem="0"/>
  </dataFields>
  <chartFormats count="14">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9" format="4">
      <pivotArea type="data" outline="0" fieldPosition="0">
        <references count="2">
          <reference field="4294967294" count="1" selected="0">
            <x v="0"/>
          </reference>
          <reference field="3"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 chart="9" format="6">
      <pivotArea type="data" outline="0" fieldPosition="0">
        <references count="2">
          <reference field="4294967294" count="1" selected="0">
            <x v="0"/>
          </reference>
          <reference field="3" count="1" selected="0">
            <x v="2"/>
          </reference>
        </references>
      </pivotArea>
    </chartFormat>
    <chartFormat chart="9" format="7">
      <pivotArea type="data" outline="0" fieldPosition="0">
        <references count="2">
          <reference field="4294967294" count="1" selected="0">
            <x v="0"/>
          </reference>
          <reference field="3" count="1" selected="0">
            <x v="3"/>
          </reference>
        </references>
      </pivotArea>
    </chartFormat>
    <chartFormat chart="9" format="8">
      <pivotArea type="data" outline="0" fieldPosition="0">
        <references count="2">
          <reference field="4294967294" count="1" selected="0">
            <x v="0"/>
          </reference>
          <reference field="3" count="1" selected="0">
            <x v="4"/>
          </reference>
        </references>
      </pivotArea>
    </chartFormat>
    <chartFormat chart="9" format="9">
      <pivotArea type="data" outline="0" fieldPosition="0">
        <references count="2">
          <reference field="4294967294" count="1" selected="0">
            <x v="0"/>
          </reference>
          <reference field="3" count="1" selected="0">
            <x v="5"/>
          </reference>
        </references>
      </pivotArea>
    </chartFormat>
    <chartFormat chart="9" format="10">
      <pivotArea type="data" outline="0" fieldPosition="0">
        <references count="2">
          <reference field="4294967294" count="1" selected="0">
            <x v="1"/>
          </reference>
          <reference field="3" count="1" selected="0">
            <x v="0"/>
          </reference>
        </references>
      </pivotArea>
    </chartFormat>
    <chartFormat chart="9" format="11">
      <pivotArea type="data" outline="0" fieldPosition="0">
        <references count="2">
          <reference field="4294967294" count="1" selected="0">
            <x v="1"/>
          </reference>
          <reference field="3" count="1" selected="0">
            <x v="1"/>
          </reference>
        </references>
      </pivotArea>
    </chartFormat>
    <chartFormat chart="9" format="12">
      <pivotArea type="data" outline="0" fieldPosition="0">
        <references count="2">
          <reference field="4294967294" count="1" selected="0">
            <x v="1"/>
          </reference>
          <reference field="3" count="1" selected="0">
            <x v="2"/>
          </reference>
        </references>
      </pivotArea>
    </chartFormat>
    <chartFormat chart="9" format="13">
      <pivotArea type="data" outline="0" fieldPosition="0">
        <references count="2">
          <reference field="4294967294" count="1" selected="0">
            <x v="1"/>
          </reference>
          <reference field="3" count="1" selected="0">
            <x v="3"/>
          </reference>
        </references>
      </pivotArea>
    </chartFormat>
    <chartFormat chart="9" format="14">
      <pivotArea type="data" outline="0" fieldPosition="0">
        <references count="2">
          <reference field="4294967294" count="1" selected="0">
            <x v="1"/>
          </reference>
          <reference field="3" count="1" selected="0">
            <x v="4"/>
          </reference>
        </references>
      </pivotArea>
    </chartFormat>
    <chartFormat chart="9" format="15">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D1BF5E-1DA4-446C-B9B6-5A3C674A20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7">
        <item x="5"/>
        <item x="4"/>
        <item x="0"/>
        <item x="3"/>
        <item x="1"/>
        <item x="2"/>
        <item t="default"/>
      </items>
    </pivotField>
    <pivotField showAll="0">
      <items count="4">
        <item x="2"/>
        <item x="0"/>
        <item x="1"/>
        <item t="default"/>
      </items>
    </pivotField>
    <pivotField showAll="0"/>
    <pivotField showAll="0"/>
    <pivotField dataField="1" showAll="0"/>
    <pivotField axis="axisRow"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Total_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890233-1B5E-4FFE-AE23-826C836007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7">
        <item x="5"/>
        <item x="4"/>
        <item x="0"/>
        <item x="3"/>
        <item x="1"/>
        <item x="2"/>
        <item t="default"/>
      </items>
    </pivotField>
    <pivotField showAll="0">
      <items count="4">
        <item x="2"/>
        <item x="0"/>
        <item x="1"/>
        <item t="default"/>
      </items>
    </pivotField>
    <pivotField dataField="1" showAll="0"/>
    <pivotField dataField="1" showAll="0"/>
    <pivotField showAll="0"/>
    <pivotField showAll="0">
      <items count="6">
        <item x="3"/>
        <item x="2"/>
        <item x="4"/>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Count of Quantity" fld="5" subtotal="count" baseField="3" baseItem="0"/>
    <dataField name="Sum of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FDA7B0-D2AB-43D9-901C-C3D9EBD984E3}" sourceName="Category">
  <pivotTables>
    <pivotTable tabId="3" name="PivotTable1"/>
    <pivotTable tabId="4" name="PivotTable2"/>
    <pivotTable tabId="6" name="PivotTable3"/>
    <pivotTable tabId="8" name="PivotTable4"/>
    <pivotTable tabId="11" name="PivotTable6"/>
  </pivotTables>
  <data>
    <tabular pivotCacheId="43274143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BFA51E7-B4B8-44FA-AD4E-B83551F9F724}" sourceName="State">
  <pivotTables>
    <pivotTable tabId="3" name="PivotTable1"/>
    <pivotTable tabId="4" name="PivotTable2"/>
    <pivotTable tabId="6" name="PivotTable3"/>
    <pivotTable tabId="8" name="PivotTable4"/>
    <pivotTable tabId="11" name="PivotTable6"/>
  </pivotTables>
  <data>
    <tabular pivotCacheId="432741438">
      <items count="5">
        <i x="3"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01F07E-56C1-4185-BA05-98A519B798B4}" sourceName="Product">
  <pivotTables>
    <pivotTable tabId="3" name="PivotTable1"/>
    <pivotTable tabId="4" name="PivotTable2"/>
    <pivotTable tabId="6" name="PivotTable3"/>
    <pivotTable tabId="8" name="PivotTable4"/>
    <pivotTable tabId="11" name="PivotTable6"/>
  </pivotTables>
  <data>
    <tabular pivotCacheId="432741438">
      <items count="6">
        <i x="5" s="1"/>
        <i x="4" s="1"/>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C9164D3-37D5-4F6B-AEDF-7B1BC8042DA7}" sourceName="Date">
  <pivotTables>
    <pivotTable tabId="4" name="PivotTable2"/>
    <pivotTable tabId="3" name="PivotTable1"/>
    <pivotTable tabId="6" name="PivotTable3"/>
    <pivotTable tabId="11" name="PivotTable6"/>
    <pivotTable tabId="8" name="PivotTable4"/>
  </pivotTables>
  <data>
    <tabular pivotCacheId="432741438">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B9FFD4-8EB5-4762-9FB8-ED4D092F050B}" cache="Slicer_Category" caption="Category" style="SlicerStyleOther2" rowHeight="274320"/>
  <slicer name="State" xr10:uid="{D87BC413-2225-49D2-AF4B-4F013BF12956}" cache="Slicer_State" caption="State" rowHeight="234950"/>
  <slicer name="Product" xr10:uid="{96750189-E2C6-4852-A792-B00F7909EB7B}" cache="Slicer_Product" caption="Product" style="SlicerStyleOther2" rowHeight="234950"/>
  <slicer name="Date" xr10:uid="{A7675944-244F-4DDD-929C-24163959F3B5}" cache="Slicer_Date"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D0E0C-6380-4C82-A3F8-CCD9A5BD99FF}" name="Table1" displayName="Table1" ref="A3:I53" totalsRowShown="0">
  <autoFilter ref="A3:I53" xr:uid="{D7BD0E0C-6380-4C82-A3F8-CCD9A5BD99FF}"/>
  <tableColumns count="9">
    <tableColumn id="1" xr3:uid="{3AAADC0F-A631-4386-8C4C-8FBCCD6FFA8E}" name="Date"/>
    <tableColumn id="2" xr3:uid="{01B0E5C4-33A9-411B-9DE5-F0E9CC27F719}" name="Order_ID"/>
    <tableColumn id="3" xr3:uid="{A2D4205A-1908-4CE5-AAF0-536A260D18B4}" name="Customer_Name"/>
    <tableColumn id="4" xr3:uid="{D2BE0E0F-8797-4560-B483-C58F91659198}" name="Product"/>
    <tableColumn id="5" xr3:uid="{E4DACA21-0749-4364-83EA-8514623D78DE}" name="Category"/>
    <tableColumn id="6" xr3:uid="{6649DE1D-DA4E-4DC6-A18A-D65E06401204}" name="Quantity"/>
    <tableColumn id="7" xr3:uid="{80E23C97-333F-456F-8777-A351F2B4829C}" name="Price"/>
    <tableColumn id="8" xr3:uid="{87409CB8-7582-48EF-8B00-6F4D2F906AD9}" name="Total_Sales"/>
    <tableColumn id="9" xr3:uid="{15A61D01-80EF-4D49-9834-526B024F5E08}" name="Stat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6DF8F9-2309-4FB1-B94E-AE8714FCD695}" name="Table3" displayName="Table3" ref="A1:I51" totalsRowShown="0">
  <autoFilter ref="A1:I51" xr:uid="{00000000-0001-0000-0000-000000000000}"/>
  <tableColumns count="9">
    <tableColumn id="1" xr3:uid="{BB644708-553E-4198-BACA-9D100ED0FD2C}" name="Date" dataDxfId="0"/>
    <tableColumn id="2" xr3:uid="{A1C294F5-FA2B-4B26-B1F8-2F7E35BCA3CB}" name="Order_ID"/>
    <tableColumn id="3" xr3:uid="{B07F3F6F-0AFF-47A5-AB47-9BEB6063BE04}" name="Customer_Name"/>
    <tableColumn id="4" xr3:uid="{ADA628CE-7FE4-4300-84E9-32C1A7362AA9}" name="Product"/>
    <tableColumn id="5" xr3:uid="{8D603DFD-702C-454B-AAC5-F973B44583E0}" name="Category"/>
    <tableColumn id="6" xr3:uid="{E647A1B5-FDBD-4CA4-9C5F-EAA085417D14}" name="Quantity"/>
    <tableColumn id="7" xr3:uid="{C68395D9-158D-4505-A096-E59369729FC2}" name="Price"/>
    <tableColumn id="8" xr3:uid="{1D26CAD9-F99F-4036-A7FF-2D28B812165C}" name="Total_Sales"/>
    <tableColumn id="9" xr3:uid="{A3C9A263-9904-4567-910E-0AB908121317}" name="St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8ABA-5FF2-4AEA-B22F-43A44B9A7610}">
  <dimension ref="A3:B7"/>
  <sheetViews>
    <sheetView workbookViewId="0">
      <selection activeCell="AS27" sqref="AS27"/>
    </sheetView>
  </sheetViews>
  <sheetFormatPr defaultRowHeight="14.4" x14ac:dyDescent="0.3"/>
  <cols>
    <col min="1" max="1" width="12.5546875" bestFit="1" customWidth="1"/>
    <col min="2" max="2" width="17" bestFit="1" customWidth="1"/>
  </cols>
  <sheetData>
    <row r="3" spans="1:2" x14ac:dyDescent="0.3">
      <c r="A3" s="1" t="s">
        <v>106</v>
      </c>
      <c r="B3" t="s">
        <v>108</v>
      </c>
    </row>
    <row r="4" spans="1:2" x14ac:dyDescent="0.3">
      <c r="A4" s="2" t="s">
        <v>25</v>
      </c>
      <c r="B4" s="7">
        <v>66300</v>
      </c>
    </row>
    <row r="5" spans="1:2" x14ac:dyDescent="0.3">
      <c r="A5" s="2" t="s">
        <v>13</v>
      </c>
      <c r="B5" s="7">
        <v>1224000</v>
      </c>
    </row>
    <row r="6" spans="1:2" x14ac:dyDescent="0.3">
      <c r="A6" s="2" t="s">
        <v>19</v>
      </c>
      <c r="B6" s="7">
        <v>102200</v>
      </c>
    </row>
    <row r="7" spans="1:2" x14ac:dyDescent="0.3">
      <c r="A7" s="2" t="s">
        <v>107</v>
      </c>
      <c r="B7" s="7">
        <v>1392500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FAE4-8425-4289-8320-D53620E93191}">
  <dimension ref="A3:B27"/>
  <sheetViews>
    <sheetView zoomScale="94" workbookViewId="0">
      <selection activeCell="B7" sqref="B7"/>
    </sheetView>
  </sheetViews>
  <sheetFormatPr defaultRowHeight="14.4" x14ac:dyDescent="0.3"/>
  <cols>
    <col min="1" max="1" width="12.88671875" bestFit="1" customWidth="1"/>
    <col min="2" max="2" width="17" bestFit="1" customWidth="1"/>
  </cols>
  <sheetData>
    <row r="3" spans="1:2" x14ac:dyDescent="0.3">
      <c r="A3" s="1" t="s">
        <v>106</v>
      </c>
      <c r="B3" t="s">
        <v>108</v>
      </c>
    </row>
    <row r="4" spans="1:2" x14ac:dyDescent="0.3">
      <c r="A4" s="2" t="s">
        <v>113</v>
      </c>
      <c r="B4" s="7">
        <v>363400</v>
      </c>
    </row>
    <row r="5" spans="1:2" x14ac:dyDescent="0.3">
      <c r="A5" s="3" t="s">
        <v>115</v>
      </c>
      <c r="B5" s="7">
        <v>24000</v>
      </c>
    </row>
    <row r="6" spans="1:2" x14ac:dyDescent="0.3">
      <c r="A6" s="3" t="s">
        <v>116</v>
      </c>
      <c r="B6" s="7">
        <v>600</v>
      </c>
    </row>
    <row r="7" spans="1:2" x14ac:dyDescent="0.3">
      <c r="A7" s="3" t="s">
        <v>117</v>
      </c>
      <c r="B7" s="7">
        <v>3600</v>
      </c>
    </row>
    <row r="8" spans="1:2" x14ac:dyDescent="0.3">
      <c r="A8" s="3" t="s">
        <v>118</v>
      </c>
      <c r="B8" s="7">
        <v>8800</v>
      </c>
    </row>
    <row r="9" spans="1:2" x14ac:dyDescent="0.3">
      <c r="A9" s="3" t="s">
        <v>119</v>
      </c>
      <c r="B9" s="7">
        <v>2400</v>
      </c>
    </row>
    <row r="10" spans="1:2" x14ac:dyDescent="0.3">
      <c r="A10" s="3" t="s">
        <v>120</v>
      </c>
      <c r="B10" s="7">
        <v>90000</v>
      </c>
    </row>
    <row r="11" spans="1:2" x14ac:dyDescent="0.3">
      <c r="A11" s="3" t="s">
        <v>121</v>
      </c>
      <c r="B11" s="7">
        <v>8800</v>
      </c>
    </row>
    <row r="12" spans="1:2" x14ac:dyDescent="0.3">
      <c r="A12" s="3" t="s">
        <v>122</v>
      </c>
      <c r="B12" s="7">
        <v>1500</v>
      </c>
    </row>
    <row r="13" spans="1:2" x14ac:dyDescent="0.3">
      <c r="A13" s="3" t="s">
        <v>123</v>
      </c>
      <c r="B13" s="7">
        <v>11000</v>
      </c>
    </row>
    <row r="14" spans="1:2" x14ac:dyDescent="0.3">
      <c r="A14" s="3" t="s">
        <v>124</v>
      </c>
      <c r="B14" s="7">
        <v>5400</v>
      </c>
    </row>
    <row r="15" spans="1:2" x14ac:dyDescent="0.3">
      <c r="A15" s="3" t="s">
        <v>125</v>
      </c>
      <c r="B15" s="7">
        <v>7500</v>
      </c>
    </row>
    <row r="16" spans="1:2" x14ac:dyDescent="0.3">
      <c r="A16" s="3" t="s">
        <v>126</v>
      </c>
      <c r="B16" s="7">
        <v>45000</v>
      </c>
    </row>
    <row r="17" spans="1:2" x14ac:dyDescent="0.3">
      <c r="A17" s="3" t="s">
        <v>127</v>
      </c>
      <c r="B17" s="7">
        <v>36000</v>
      </c>
    </row>
    <row r="18" spans="1:2" x14ac:dyDescent="0.3">
      <c r="A18" s="3" t="s">
        <v>128</v>
      </c>
      <c r="B18" s="7">
        <v>4400</v>
      </c>
    </row>
    <row r="19" spans="1:2" x14ac:dyDescent="0.3">
      <c r="A19" s="3" t="s">
        <v>129</v>
      </c>
      <c r="B19" s="7">
        <v>5400</v>
      </c>
    </row>
    <row r="20" spans="1:2" x14ac:dyDescent="0.3">
      <c r="A20" s="3" t="s">
        <v>130</v>
      </c>
      <c r="B20" s="7">
        <v>90000</v>
      </c>
    </row>
    <row r="21" spans="1:2" x14ac:dyDescent="0.3">
      <c r="A21" s="3" t="s">
        <v>131</v>
      </c>
      <c r="B21" s="7">
        <v>1800</v>
      </c>
    </row>
    <row r="22" spans="1:2" x14ac:dyDescent="0.3">
      <c r="A22" s="3" t="s">
        <v>132</v>
      </c>
      <c r="B22" s="7">
        <v>4400</v>
      </c>
    </row>
    <row r="23" spans="1:2" x14ac:dyDescent="0.3">
      <c r="A23" s="3" t="s">
        <v>133</v>
      </c>
      <c r="B23" s="7">
        <v>2400</v>
      </c>
    </row>
    <row r="24" spans="1:2" x14ac:dyDescent="0.3">
      <c r="A24" s="3" t="s">
        <v>134</v>
      </c>
      <c r="B24" s="7">
        <v>4400</v>
      </c>
    </row>
    <row r="25" spans="1:2" x14ac:dyDescent="0.3">
      <c r="A25" s="3" t="s">
        <v>135</v>
      </c>
      <c r="B25" s="7">
        <v>6000</v>
      </c>
    </row>
    <row r="26" spans="1:2" x14ac:dyDescent="0.3">
      <c r="A26" s="2" t="s">
        <v>114</v>
      </c>
      <c r="B26" s="7">
        <v>1029100</v>
      </c>
    </row>
    <row r="27" spans="1:2" x14ac:dyDescent="0.3">
      <c r="A27" s="2" t="s">
        <v>107</v>
      </c>
      <c r="B27" s="7">
        <v>1392500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922A-4EC7-4D03-BC5B-5C13B2783F70}">
  <dimension ref="A2:H10"/>
  <sheetViews>
    <sheetView workbookViewId="0">
      <selection activeCell="H3" sqref="H3"/>
    </sheetView>
  </sheetViews>
  <sheetFormatPr defaultRowHeight="14.4" x14ac:dyDescent="0.3"/>
  <cols>
    <col min="1" max="1" width="12.5546875" bestFit="1" customWidth="1"/>
    <col min="2" max="2" width="17" bestFit="1" customWidth="1"/>
    <col min="3" max="3" width="21.33203125" bestFit="1" customWidth="1"/>
    <col min="5" max="5" width="18.44140625" customWidth="1"/>
  </cols>
  <sheetData>
    <row r="2" spans="1:8" x14ac:dyDescent="0.3">
      <c r="D2">
        <f>COUNTA($A:A)+2</f>
        <v>10</v>
      </c>
      <c r="E2" t="str">
        <f>"b"&amp;D2</f>
        <v>b10</v>
      </c>
      <c r="G2">
        <f>COUNTA($A:A)+2</f>
        <v>10</v>
      </c>
      <c r="H2" t="str">
        <f>"C"&amp;G2</f>
        <v>C10</v>
      </c>
    </row>
    <row r="3" spans="1:8" x14ac:dyDescent="0.3">
      <c r="A3" s="1" t="s">
        <v>106</v>
      </c>
      <c r="B3" t="s">
        <v>108</v>
      </c>
      <c r="C3" t="s">
        <v>109</v>
      </c>
      <c r="E3" s="6" cm="1">
        <f t="array" aca="1" ref="E3" ca="1">INDIRECT(E2)</f>
        <v>1392500</v>
      </c>
      <c r="H3" cm="1">
        <f t="array" aca="1" ref="H3" ca="1">INDIRECT(H2)</f>
        <v>27850</v>
      </c>
    </row>
    <row r="4" spans="1:8" x14ac:dyDescent="0.3">
      <c r="A4" s="2" t="s">
        <v>43</v>
      </c>
      <c r="B4" s="7">
        <v>28500</v>
      </c>
      <c r="C4" s="7">
        <v>3562.5</v>
      </c>
    </row>
    <row r="5" spans="1:8" x14ac:dyDescent="0.3">
      <c r="A5" s="2" t="s">
        <v>37</v>
      </c>
      <c r="B5" s="7">
        <v>900000</v>
      </c>
      <c r="C5" s="7">
        <v>100000</v>
      </c>
    </row>
    <row r="6" spans="1:8" x14ac:dyDescent="0.3">
      <c r="A6" s="2" t="s">
        <v>12</v>
      </c>
      <c r="B6" s="7">
        <v>324000</v>
      </c>
      <c r="C6" s="7">
        <v>40500</v>
      </c>
    </row>
    <row r="7" spans="1:8" x14ac:dyDescent="0.3">
      <c r="A7" s="2" t="s">
        <v>30</v>
      </c>
      <c r="B7" s="7">
        <v>90200</v>
      </c>
      <c r="C7" s="7">
        <v>7516.666666666667</v>
      </c>
    </row>
    <row r="8" spans="1:8" x14ac:dyDescent="0.3">
      <c r="A8" s="2" t="s">
        <v>18</v>
      </c>
      <c r="B8" s="7">
        <v>12000</v>
      </c>
      <c r="C8" s="7">
        <v>2000</v>
      </c>
    </row>
    <row r="9" spans="1:8" x14ac:dyDescent="0.3">
      <c r="A9" s="2" t="s">
        <v>24</v>
      </c>
      <c r="B9" s="7">
        <v>37800</v>
      </c>
      <c r="C9" s="7">
        <v>5400</v>
      </c>
    </row>
    <row r="10" spans="1:8" x14ac:dyDescent="0.3">
      <c r="A10" s="2" t="s">
        <v>107</v>
      </c>
      <c r="B10" s="7">
        <v>1392500</v>
      </c>
      <c r="C10" s="7">
        <v>27850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C668F-F1FD-407A-8686-C06FCE59E43E}">
  <dimension ref="A3:B9"/>
  <sheetViews>
    <sheetView topLeftCell="A2" workbookViewId="0">
      <selection activeCell="B6" sqref="B6"/>
    </sheetView>
  </sheetViews>
  <sheetFormatPr defaultRowHeight="14.4" x14ac:dyDescent="0.3"/>
  <cols>
    <col min="1" max="1" width="12.5546875" bestFit="1" customWidth="1"/>
    <col min="2" max="2" width="17" bestFit="1" customWidth="1"/>
  </cols>
  <sheetData>
    <row r="3" spans="1:2" x14ac:dyDescent="0.3">
      <c r="A3" s="1" t="s">
        <v>106</v>
      </c>
      <c r="B3" t="s">
        <v>108</v>
      </c>
    </row>
    <row r="4" spans="1:2" x14ac:dyDescent="0.3">
      <c r="A4" s="2" t="s">
        <v>34</v>
      </c>
      <c r="B4" s="7">
        <v>454400</v>
      </c>
    </row>
    <row r="5" spans="1:2" x14ac:dyDescent="0.3">
      <c r="A5" s="2" t="s">
        <v>26</v>
      </c>
      <c r="B5" s="7">
        <v>313500</v>
      </c>
    </row>
    <row r="6" spans="1:2" x14ac:dyDescent="0.3">
      <c r="A6" s="2" t="s">
        <v>46</v>
      </c>
      <c r="B6" s="7">
        <v>203300</v>
      </c>
    </row>
    <row r="7" spans="1:2" x14ac:dyDescent="0.3">
      <c r="A7" s="2" t="s">
        <v>20</v>
      </c>
      <c r="B7" s="7">
        <v>53000</v>
      </c>
    </row>
    <row r="8" spans="1:2" x14ac:dyDescent="0.3">
      <c r="A8" s="2" t="s">
        <v>14</v>
      </c>
      <c r="B8" s="7">
        <v>368300</v>
      </c>
    </row>
    <row r="9" spans="1:2" x14ac:dyDescent="0.3">
      <c r="A9" s="2" t="s">
        <v>107</v>
      </c>
      <c r="B9" s="7">
        <v>1392500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2072F-C75F-4CEE-990A-E39EDB41425B}">
  <dimension ref="A1:I53"/>
  <sheetViews>
    <sheetView workbookViewId="0">
      <selection activeCell="A3" sqref="A3:I53"/>
    </sheetView>
  </sheetViews>
  <sheetFormatPr defaultRowHeight="14.4" x14ac:dyDescent="0.3"/>
  <cols>
    <col min="1" max="1" width="10.33203125" bestFit="1" customWidth="1"/>
    <col min="2" max="2" width="10.77734375" bestFit="1" customWidth="1"/>
    <col min="3" max="3" width="17.44140625" bestFit="1" customWidth="1"/>
    <col min="4" max="4" width="11.109375" bestFit="1" customWidth="1"/>
    <col min="5" max="5" width="10.77734375" bestFit="1" customWidth="1"/>
    <col min="6" max="6" width="10.5546875" bestFit="1" customWidth="1"/>
    <col min="7" max="7" width="9" bestFit="1" customWidth="1"/>
    <col min="8" max="8" width="12.6640625" bestFit="1" customWidth="1"/>
    <col min="9" max="9" width="11.44140625" bestFit="1" customWidth="1"/>
  </cols>
  <sheetData>
    <row r="1" spans="1:9" x14ac:dyDescent="0.3">
      <c r="A1" s="5" t="s">
        <v>112</v>
      </c>
    </row>
    <row r="3" spans="1:9" x14ac:dyDescent="0.3">
      <c r="A3" t="s">
        <v>0</v>
      </c>
      <c r="B3" t="s">
        <v>1</v>
      </c>
      <c r="C3" t="s">
        <v>2</v>
      </c>
      <c r="D3" t="s">
        <v>3</v>
      </c>
      <c r="E3" t="s">
        <v>4</v>
      </c>
      <c r="F3" t="s">
        <v>5</v>
      </c>
      <c r="G3" t="s">
        <v>6</v>
      </c>
      <c r="H3" t="s">
        <v>7</v>
      </c>
      <c r="I3" t="s">
        <v>8</v>
      </c>
    </row>
    <row r="4" spans="1:9" x14ac:dyDescent="0.3">
      <c r="A4" t="s">
        <v>40</v>
      </c>
      <c r="B4" t="s">
        <v>41</v>
      </c>
      <c r="C4" t="s">
        <v>42</v>
      </c>
      <c r="D4" t="s">
        <v>43</v>
      </c>
      <c r="E4" t="s">
        <v>25</v>
      </c>
      <c r="F4">
        <v>1</v>
      </c>
      <c r="G4">
        <v>1500</v>
      </c>
      <c r="H4">
        <v>1500</v>
      </c>
      <c r="I4" t="s">
        <v>34</v>
      </c>
    </row>
    <row r="5" spans="1:9" x14ac:dyDescent="0.3">
      <c r="A5" t="s">
        <v>49</v>
      </c>
      <c r="B5" t="s">
        <v>50</v>
      </c>
      <c r="C5" t="s">
        <v>42</v>
      </c>
      <c r="D5" t="s">
        <v>43</v>
      </c>
      <c r="E5" t="s">
        <v>25</v>
      </c>
      <c r="F5">
        <v>5</v>
      </c>
      <c r="G5">
        <v>1500</v>
      </c>
      <c r="H5">
        <v>7500</v>
      </c>
      <c r="I5" t="s">
        <v>34</v>
      </c>
    </row>
    <row r="6" spans="1:9" x14ac:dyDescent="0.3">
      <c r="A6" t="s">
        <v>69</v>
      </c>
      <c r="B6" t="s">
        <v>70</v>
      </c>
      <c r="C6" t="s">
        <v>11</v>
      </c>
      <c r="D6" t="s">
        <v>43</v>
      </c>
      <c r="E6" t="s">
        <v>25</v>
      </c>
      <c r="F6">
        <v>4</v>
      </c>
      <c r="G6">
        <v>1500</v>
      </c>
      <c r="H6">
        <v>6000</v>
      </c>
      <c r="I6" t="s">
        <v>46</v>
      </c>
    </row>
    <row r="7" spans="1:9" x14ac:dyDescent="0.3">
      <c r="A7" t="s">
        <v>51</v>
      </c>
      <c r="B7" t="s">
        <v>73</v>
      </c>
      <c r="C7" t="s">
        <v>11</v>
      </c>
      <c r="D7" t="s">
        <v>43</v>
      </c>
      <c r="E7" t="s">
        <v>25</v>
      </c>
      <c r="F7">
        <v>1</v>
      </c>
      <c r="G7">
        <v>1500</v>
      </c>
      <c r="H7">
        <v>1500</v>
      </c>
      <c r="I7" t="s">
        <v>14</v>
      </c>
    </row>
    <row r="8" spans="1:9" x14ac:dyDescent="0.3">
      <c r="A8" t="s">
        <v>38</v>
      </c>
      <c r="B8" t="s">
        <v>80</v>
      </c>
      <c r="C8" t="s">
        <v>17</v>
      </c>
      <c r="D8" t="s">
        <v>43</v>
      </c>
      <c r="E8" t="s">
        <v>25</v>
      </c>
      <c r="F8">
        <v>1</v>
      </c>
      <c r="G8">
        <v>1500</v>
      </c>
      <c r="H8">
        <v>1500</v>
      </c>
      <c r="I8" t="s">
        <v>46</v>
      </c>
    </row>
    <row r="9" spans="1:9" x14ac:dyDescent="0.3">
      <c r="A9" t="s">
        <v>83</v>
      </c>
      <c r="B9" t="s">
        <v>84</v>
      </c>
      <c r="C9" t="s">
        <v>29</v>
      </c>
      <c r="D9" t="s">
        <v>43</v>
      </c>
      <c r="E9" t="s">
        <v>25</v>
      </c>
      <c r="F9">
        <v>5</v>
      </c>
      <c r="G9">
        <v>1500</v>
      </c>
      <c r="H9">
        <v>7500</v>
      </c>
      <c r="I9" t="s">
        <v>34</v>
      </c>
    </row>
    <row r="10" spans="1:9" x14ac:dyDescent="0.3">
      <c r="A10" t="s">
        <v>78</v>
      </c>
      <c r="B10" t="s">
        <v>86</v>
      </c>
      <c r="C10" t="s">
        <v>29</v>
      </c>
      <c r="D10" t="s">
        <v>43</v>
      </c>
      <c r="E10" t="s">
        <v>25</v>
      </c>
      <c r="F10">
        <v>1</v>
      </c>
      <c r="G10">
        <v>1500</v>
      </c>
      <c r="H10">
        <v>1500</v>
      </c>
      <c r="I10" t="s">
        <v>26</v>
      </c>
    </row>
    <row r="11" spans="1:9" x14ac:dyDescent="0.3">
      <c r="A11" t="s">
        <v>90</v>
      </c>
      <c r="B11" t="s">
        <v>91</v>
      </c>
      <c r="C11" t="s">
        <v>11</v>
      </c>
      <c r="D11" t="s">
        <v>43</v>
      </c>
      <c r="E11" t="s">
        <v>25</v>
      </c>
      <c r="F11">
        <v>1</v>
      </c>
      <c r="G11">
        <v>1500</v>
      </c>
      <c r="H11">
        <v>1500</v>
      </c>
      <c r="I11" t="s">
        <v>34</v>
      </c>
    </row>
    <row r="12" spans="1:9" x14ac:dyDescent="0.3">
      <c r="A12" t="s">
        <v>35</v>
      </c>
      <c r="B12" t="s">
        <v>36</v>
      </c>
      <c r="C12" t="s">
        <v>11</v>
      </c>
      <c r="D12" t="s">
        <v>37</v>
      </c>
      <c r="E12" t="s">
        <v>13</v>
      </c>
      <c r="F12">
        <v>2</v>
      </c>
      <c r="G12">
        <v>45000</v>
      </c>
      <c r="H12">
        <v>90000</v>
      </c>
      <c r="I12" t="s">
        <v>26</v>
      </c>
    </row>
    <row r="13" spans="1:9" x14ac:dyDescent="0.3">
      <c r="A13" t="s">
        <v>51</v>
      </c>
      <c r="B13" t="s">
        <v>52</v>
      </c>
      <c r="C13" t="s">
        <v>23</v>
      </c>
      <c r="D13" t="s">
        <v>37</v>
      </c>
      <c r="E13" t="s">
        <v>13</v>
      </c>
      <c r="F13">
        <v>1</v>
      </c>
      <c r="G13">
        <v>45000</v>
      </c>
      <c r="H13">
        <v>45000</v>
      </c>
      <c r="I13" t="s">
        <v>14</v>
      </c>
    </row>
    <row r="14" spans="1:9" x14ac:dyDescent="0.3">
      <c r="A14" t="s">
        <v>60</v>
      </c>
      <c r="B14" t="s">
        <v>61</v>
      </c>
      <c r="C14" t="s">
        <v>17</v>
      </c>
      <c r="D14" t="s">
        <v>37</v>
      </c>
      <c r="E14" t="s">
        <v>13</v>
      </c>
      <c r="F14">
        <v>2</v>
      </c>
      <c r="G14">
        <v>45000</v>
      </c>
      <c r="H14">
        <v>90000</v>
      </c>
      <c r="I14" t="s">
        <v>46</v>
      </c>
    </row>
    <row r="15" spans="1:9" x14ac:dyDescent="0.3">
      <c r="A15" t="s">
        <v>15</v>
      </c>
      <c r="B15" t="s">
        <v>74</v>
      </c>
      <c r="C15" t="s">
        <v>23</v>
      </c>
      <c r="D15" t="s">
        <v>37</v>
      </c>
      <c r="E15" t="s">
        <v>13</v>
      </c>
      <c r="F15">
        <v>1</v>
      </c>
      <c r="G15">
        <v>45000</v>
      </c>
      <c r="H15">
        <v>45000</v>
      </c>
      <c r="I15" t="s">
        <v>34</v>
      </c>
    </row>
    <row r="16" spans="1:9" x14ac:dyDescent="0.3">
      <c r="A16" t="s">
        <v>51</v>
      </c>
      <c r="B16" t="s">
        <v>82</v>
      </c>
      <c r="C16" t="s">
        <v>23</v>
      </c>
      <c r="D16" t="s">
        <v>37</v>
      </c>
      <c r="E16" t="s">
        <v>13</v>
      </c>
      <c r="F16">
        <v>2</v>
      </c>
      <c r="G16">
        <v>45000</v>
      </c>
      <c r="H16">
        <v>90000</v>
      </c>
      <c r="I16" t="s">
        <v>34</v>
      </c>
    </row>
    <row r="17" spans="1:9" x14ac:dyDescent="0.3">
      <c r="A17" t="s">
        <v>67</v>
      </c>
      <c r="B17" t="s">
        <v>94</v>
      </c>
      <c r="C17" t="s">
        <v>55</v>
      </c>
      <c r="D17" t="s">
        <v>37</v>
      </c>
      <c r="E17" t="s">
        <v>13</v>
      </c>
      <c r="F17">
        <v>4</v>
      </c>
      <c r="G17">
        <v>45000</v>
      </c>
      <c r="H17">
        <v>180000</v>
      </c>
      <c r="I17" t="s">
        <v>34</v>
      </c>
    </row>
    <row r="18" spans="1:9" x14ac:dyDescent="0.3">
      <c r="A18" t="s">
        <v>56</v>
      </c>
      <c r="B18" t="s">
        <v>95</v>
      </c>
      <c r="C18" t="s">
        <v>23</v>
      </c>
      <c r="D18" t="s">
        <v>37</v>
      </c>
      <c r="E18" t="s">
        <v>13</v>
      </c>
      <c r="F18">
        <v>4</v>
      </c>
      <c r="G18">
        <v>45000</v>
      </c>
      <c r="H18">
        <v>180000</v>
      </c>
      <c r="I18" t="s">
        <v>14</v>
      </c>
    </row>
    <row r="19" spans="1:9" x14ac:dyDescent="0.3">
      <c r="A19" t="s">
        <v>31</v>
      </c>
      <c r="B19" t="s">
        <v>101</v>
      </c>
      <c r="C19" t="s">
        <v>29</v>
      </c>
      <c r="D19" t="s">
        <v>37</v>
      </c>
      <c r="E19" t="s">
        <v>13</v>
      </c>
      <c r="F19">
        <v>3</v>
      </c>
      <c r="G19">
        <v>45000</v>
      </c>
      <c r="H19">
        <v>135000</v>
      </c>
      <c r="I19" t="s">
        <v>26</v>
      </c>
    </row>
    <row r="20" spans="1:9" x14ac:dyDescent="0.3">
      <c r="A20" t="s">
        <v>83</v>
      </c>
      <c r="B20" t="s">
        <v>105</v>
      </c>
      <c r="C20" t="s">
        <v>17</v>
      </c>
      <c r="D20" t="s">
        <v>37</v>
      </c>
      <c r="E20" t="s">
        <v>13</v>
      </c>
      <c r="F20">
        <v>1</v>
      </c>
      <c r="G20">
        <v>45000</v>
      </c>
      <c r="H20">
        <v>45000</v>
      </c>
      <c r="I20" t="s">
        <v>46</v>
      </c>
    </row>
    <row r="21" spans="1:9" x14ac:dyDescent="0.3">
      <c r="A21" t="s">
        <v>9</v>
      </c>
      <c r="B21" t="s">
        <v>10</v>
      </c>
      <c r="C21" t="s">
        <v>11</v>
      </c>
      <c r="D21" t="s">
        <v>12</v>
      </c>
      <c r="E21" t="s">
        <v>13</v>
      </c>
      <c r="F21">
        <v>2</v>
      </c>
      <c r="G21">
        <v>12000</v>
      </c>
      <c r="H21">
        <v>24000</v>
      </c>
      <c r="I21" t="s">
        <v>14</v>
      </c>
    </row>
    <row r="22" spans="1:9" x14ac:dyDescent="0.3">
      <c r="A22" t="s">
        <v>53</v>
      </c>
      <c r="B22" t="s">
        <v>54</v>
      </c>
      <c r="C22" t="s">
        <v>55</v>
      </c>
      <c r="D22" t="s">
        <v>12</v>
      </c>
      <c r="E22" t="s">
        <v>13</v>
      </c>
      <c r="F22">
        <v>3</v>
      </c>
      <c r="G22">
        <v>12000</v>
      </c>
      <c r="H22">
        <v>36000</v>
      </c>
      <c r="I22" t="s">
        <v>14</v>
      </c>
    </row>
    <row r="23" spans="1:9" x14ac:dyDescent="0.3">
      <c r="A23" t="s">
        <v>58</v>
      </c>
      <c r="B23" t="s">
        <v>87</v>
      </c>
      <c r="C23" t="s">
        <v>17</v>
      </c>
      <c r="D23" t="s">
        <v>12</v>
      </c>
      <c r="E23" t="s">
        <v>13</v>
      </c>
      <c r="F23">
        <v>4</v>
      </c>
      <c r="G23">
        <v>12000</v>
      </c>
      <c r="H23">
        <v>48000</v>
      </c>
      <c r="I23" t="s">
        <v>34</v>
      </c>
    </row>
    <row r="24" spans="1:9" x14ac:dyDescent="0.3">
      <c r="A24" t="s">
        <v>88</v>
      </c>
      <c r="B24" t="s">
        <v>89</v>
      </c>
      <c r="C24" t="s">
        <v>17</v>
      </c>
      <c r="D24" t="s">
        <v>12</v>
      </c>
      <c r="E24" t="s">
        <v>13</v>
      </c>
      <c r="F24">
        <v>5</v>
      </c>
      <c r="G24">
        <v>12000</v>
      </c>
      <c r="H24">
        <v>60000</v>
      </c>
      <c r="I24" t="s">
        <v>34</v>
      </c>
    </row>
    <row r="25" spans="1:9" x14ac:dyDescent="0.3">
      <c r="A25" t="s">
        <v>53</v>
      </c>
      <c r="B25" t="s">
        <v>92</v>
      </c>
      <c r="C25" t="s">
        <v>23</v>
      </c>
      <c r="D25" t="s">
        <v>12</v>
      </c>
      <c r="E25" t="s">
        <v>13</v>
      </c>
      <c r="F25">
        <v>5</v>
      </c>
      <c r="G25">
        <v>12000</v>
      </c>
      <c r="H25">
        <v>60000</v>
      </c>
      <c r="I25" t="s">
        <v>14</v>
      </c>
    </row>
    <row r="26" spans="1:9" x14ac:dyDescent="0.3">
      <c r="A26" t="s">
        <v>35</v>
      </c>
      <c r="B26" t="s">
        <v>93</v>
      </c>
      <c r="C26" t="s">
        <v>23</v>
      </c>
      <c r="D26" t="s">
        <v>12</v>
      </c>
      <c r="E26" t="s">
        <v>13</v>
      </c>
      <c r="F26">
        <v>4</v>
      </c>
      <c r="G26">
        <v>12000</v>
      </c>
      <c r="H26">
        <v>48000</v>
      </c>
      <c r="I26" t="s">
        <v>26</v>
      </c>
    </row>
    <row r="27" spans="1:9" x14ac:dyDescent="0.3">
      <c r="A27" t="s">
        <v>51</v>
      </c>
      <c r="B27" t="s">
        <v>96</v>
      </c>
      <c r="C27" t="s">
        <v>33</v>
      </c>
      <c r="D27" t="s">
        <v>12</v>
      </c>
      <c r="E27" t="s">
        <v>13</v>
      </c>
      <c r="F27">
        <v>2</v>
      </c>
      <c r="G27">
        <v>12000</v>
      </c>
      <c r="H27">
        <v>24000</v>
      </c>
      <c r="I27" t="s">
        <v>46</v>
      </c>
    </row>
    <row r="28" spans="1:9" x14ac:dyDescent="0.3">
      <c r="A28" t="s">
        <v>38</v>
      </c>
      <c r="B28" t="s">
        <v>103</v>
      </c>
      <c r="C28" t="s">
        <v>33</v>
      </c>
      <c r="D28" t="s">
        <v>12</v>
      </c>
      <c r="E28" t="s">
        <v>13</v>
      </c>
      <c r="F28">
        <v>2</v>
      </c>
      <c r="G28">
        <v>12000</v>
      </c>
      <c r="H28">
        <v>24000</v>
      </c>
      <c r="I28" t="s">
        <v>20</v>
      </c>
    </row>
    <row r="29" spans="1:9" x14ac:dyDescent="0.3">
      <c r="A29" t="s">
        <v>27</v>
      </c>
      <c r="B29" t="s">
        <v>28</v>
      </c>
      <c r="C29" t="s">
        <v>29</v>
      </c>
      <c r="D29" t="s">
        <v>30</v>
      </c>
      <c r="E29" t="s">
        <v>19</v>
      </c>
      <c r="F29">
        <v>4</v>
      </c>
      <c r="G29">
        <v>2200</v>
      </c>
      <c r="H29">
        <v>8800</v>
      </c>
      <c r="I29" t="s">
        <v>20</v>
      </c>
    </row>
    <row r="30" spans="1:9" x14ac:dyDescent="0.3">
      <c r="A30" t="s">
        <v>38</v>
      </c>
      <c r="B30" t="s">
        <v>39</v>
      </c>
      <c r="C30" t="s">
        <v>17</v>
      </c>
      <c r="D30" t="s">
        <v>30</v>
      </c>
      <c r="E30" t="s">
        <v>19</v>
      </c>
      <c r="F30">
        <v>4</v>
      </c>
      <c r="G30">
        <v>2200</v>
      </c>
      <c r="H30">
        <v>8800</v>
      </c>
      <c r="I30" t="s">
        <v>26</v>
      </c>
    </row>
    <row r="31" spans="1:9" x14ac:dyDescent="0.3">
      <c r="A31" t="s">
        <v>44</v>
      </c>
      <c r="B31" t="s">
        <v>45</v>
      </c>
      <c r="C31" t="s">
        <v>33</v>
      </c>
      <c r="D31" t="s">
        <v>30</v>
      </c>
      <c r="E31" t="s">
        <v>19</v>
      </c>
      <c r="F31">
        <v>5</v>
      </c>
      <c r="G31">
        <v>2200</v>
      </c>
      <c r="H31">
        <v>11000</v>
      </c>
      <c r="I31" t="s">
        <v>46</v>
      </c>
    </row>
    <row r="32" spans="1:9" x14ac:dyDescent="0.3">
      <c r="A32" t="s">
        <v>56</v>
      </c>
      <c r="B32" t="s">
        <v>57</v>
      </c>
      <c r="C32" t="s">
        <v>33</v>
      </c>
      <c r="D32" t="s">
        <v>30</v>
      </c>
      <c r="E32" t="s">
        <v>19</v>
      </c>
      <c r="F32">
        <v>2</v>
      </c>
      <c r="G32">
        <v>2200</v>
      </c>
      <c r="H32">
        <v>4400</v>
      </c>
      <c r="I32" t="s">
        <v>20</v>
      </c>
    </row>
    <row r="33" spans="1:9" x14ac:dyDescent="0.3">
      <c r="A33" t="s">
        <v>63</v>
      </c>
      <c r="B33" t="s">
        <v>64</v>
      </c>
      <c r="C33" t="s">
        <v>11</v>
      </c>
      <c r="D33" t="s">
        <v>30</v>
      </c>
      <c r="E33" t="s">
        <v>19</v>
      </c>
      <c r="F33">
        <v>2</v>
      </c>
      <c r="G33">
        <v>2200</v>
      </c>
      <c r="H33">
        <v>4400</v>
      </c>
      <c r="I33" t="s">
        <v>34</v>
      </c>
    </row>
    <row r="34" spans="1:9" x14ac:dyDescent="0.3">
      <c r="A34" t="s">
        <v>67</v>
      </c>
      <c r="B34" t="s">
        <v>68</v>
      </c>
      <c r="C34" t="s">
        <v>11</v>
      </c>
      <c r="D34" t="s">
        <v>30</v>
      </c>
      <c r="E34" t="s">
        <v>19</v>
      </c>
      <c r="F34">
        <v>2</v>
      </c>
      <c r="G34">
        <v>2200</v>
      </c>
      <c r="H34">
        <v>4400</v>
      </c>
      <c r="I34" t="s">
        <v>46</v>
      </c>
    </row>
    <row r="35" spans="1:9" x14ac:dyDescent="0.3">
      <c r="A35" t="s">
        <v>69</v>
      </c>
      <c r="B35" t="s">
        <v>71</v>
      </c>
      <c r="C35" t="s">
        <v>29</v>
      </c>
      <c r="D35" t="s">
        <v>30</v>
      </c>
      <c r="E35" t="s">
        <v>19</v>
      </c>
      <c r="F35">
        <v>3</v>
      </c>
      <c r="G35">
        <v>2200</v>
      </c>
      <c r="H35">
        <v>6600</v>
      </c>
      <c r="I35" t="s">
        <v>26</v>
      </c>
    </row>
    <row r="36" spans="1:9" x14ac:dyDescent="0.3">
      <c r="A36" t="s">
        <v>56</v>
      </c>
      <c r="B36" t="s">
        <v>85</v>
      </c>
      <c r="C36" t="s">
        <v>17</v>
      </c>
      <c r="D36" t="s">
        <v>30</v>
      </c>
      <c r="E36" t="s">
        <v>19</v>
      </c>
      <c r="F36">
        <v>2</v>
      </c>
      <c r="G36">
        <v>2200</v>
      </c>
      <c r="H36">
        <v>4400</v>
      </c>
      <c r="I36" t="s">
        <v>14</v>
      </c>
    </row>
    <row r="37" spans="1:9" x14ac:dyDescent="0.3">
      <c r="A37" t="s">
        <v>40</v>
      </c>
      <c r="B37" t="s">
        <v>97</v>
      </c>
      <c r="C37" t="s">
        <v>42</v>
      </c>
      <c r="D37" t="s">
        <v>30</v>
      </c>
      <c r="E37" t="s">
        <v>19</v>
      </c>
      <c r="F37">
        <v>3</v>
      </c>
      <c r="G37">
        <v>2200</v>
      </c>
      <c r="H37">
        <v>6600</v>
      </c>
      <c r="I37" t="s">
        <v>34</v>
      </c>
    </row>
    <row r="38" spans="1:9" x14ac:dyDescent="0.3">
      <c r="A38" t="s">
        <v>76</v>
      </c>
      <c r="B38" t="s">
        <v>100</v>
      </c>
      <c r="C38" t="s">
        <v>55</v>
      </c>
      <c r="D38" t="s">
        <v>30</v>
      </c>
      <c r="E38" t="s">
        <v>19</v>
      </c>
      <c r="F38">
        <v>5</v>
      </c>
      <c r="G38">
        <v>2200</v>
      </c>
      <c r="H38">
        <v>11000</v>
      </c>
      <c r="I38" t="s">
        <v>20</v>
      </c>
    </row>
    <row r="39" spans="1:9" x14ac:dyDescent="0.3">
      <c r="A39" t="s">
        <v>15</v>
      </c>
      <c r="B39" t="s">
        <v>102</v>
      </c>
      <c r="C39" t="s">
        <v>55</v>
      </c>
      <c r="D39" t="s">
        <v>30</v>
      </c>
      <c r="E39" t="s">
        <v>19</v>
      </c>
      <c r="F39">
        <v>5</v>
      </c>
      <c r="G39">
        <v>2200</v>
      </c>
      <c r="H39">
        <v>11000</v>
      </c>
      <c r="I39" t="s">
        <v>26</v>
      </c>
    </row>
    <row r="40" spans="1:9" x14ac:dyDescent="0.3">
      <c r="A40" t="s">
        <v>38</v>
      </c>
      <c r="B40" t="s">
        <v>104</v>
      </c>
      <c r="C40" t="s">
        <v>42</v>
      </c>
      <c r="D40" t="s">
        <v>30</v>
      </c>
      <c r="E40" t="s">
        <v>19</v>
      </c>
      <c r="F40">
        <v>4</v>
      </c>
      <c r="G40">
        <v>2200</v>
      </c>
      <c r="H40">
        <v>8800</v>
      </c>
      <c r="I40" t="s">
        <v>46</v>
      </c>
    </row>
    <row r="41" spans="1:9" x14ac:dyDescent="0.3">
      <c r="A41" t="s">
        <v>15</v>
      </c>
      <c r="B41" t="s">
        <v>16</v>
      </c>
      <c r="C41" t="s">
        <v>17</v>
      </c>
      <c r="D41" t="s">
        <v>18</v>
      </c>
      <c r="E41" t="s">
        <v>19</v>
      </c>
      <c r="F41">
        <v>1</v>
      </c>
      <c r="G41">
        <v>600</v>
      </c>
      <c r="H41">
        <v>600</v>
      </c>
      <c r="I41" t="s">
        <v>20</v>
      </c>
    </row>
    <row r="42" spans="1:9" x14ac:dyDescent="0.3">
      <c r="A42" t="s">
        <v>31</v>
      </c>
      <c r="B42" t="s">
        <v>32</v>
      </c>
      <c r="C42" t="s">
        <v>33</v>
      </c>
      <c r="D42" t="s">
        <v>18</v>
      </c>
      <c r="E42" t="s">
        <v>19</v>
      </c>
      <c r="F42">
        <v>4</v>
      </c>
      <c r="G42">
        <v>600</v>
      </c>
      <c r="H42">
        <v>2400</v>
      </c>
      <c r="I42" t="s">
        <v>34</v>
      </c>
    </row>
    <row r="43" spans="1:9" x14ac:dyDescent="0.3">
      <c r="A43" t="s">
        <v>65</v>
      </c>
      <c r="B43" t="s">
        <v>66</v>
      </c>
      <c r="C43" t="s">
        <v>33</v>
      </c>
      <c r="D43" t="s">
        <v>18</v>
      </c>
      <c r="E43" t="s">
        <v>19</v>
      </c>
      <c r="F43">
        <v>4</v>
      </c>
      <c r="G43">
        <v>600</v>
      </c>
      <c r="H43">
        <v>2400</v>
      </c>
      <c r="I43" t="s">
        <v>20</v>
      </c>
    </row>
    <row r="44" spans="1:9" x14ac:dyDescent="0.3">
      <c r="A44" t="s">
        <v>56</v>
      </c>
      <c r="B44" t="s">
        <v>72</v>
      </c>
      <c r="C44" t="s">
        <v>17</v>
      </c>
      <c r="D44" t="s">
        <v>18</v>
      </c>
      <c r="E44" t="s">
        <v>19</v>
      </c>
      <c r="F44">
        <v>3</v>
      </c>
      <c r="G44">
        <v>600</v>
      </c>
      <c r="H44">
        <v>1800</v>
      </c>
      <c r="I44" t="s">
        <v>46</v>
      </c>
    </row>
    <row r="45" spans="1:9" x14ac:dyDescent="0.3">
      <c r="A45" t="s">
        <v>76</v>
      </c>
      <c r="B45" t="s">
        <v>77</v>
      </c>
      <c r="C45" t="s">
        <v>11</v>
      </c>
      <c r="D45" t="s">
        <v>18</v>
      </c>
      <c r="E45" t="s">
        <v>19</v>
      </c>
      <c r="F45">
        <v>5</v>
      </c>
      <c r="G45">
        <v>600</v>
      </c>
      <c r="H45">
        <v>3000</v>
      </c>
      <c r="I45" t="s">
        <v>14</v>
      </c>
    </row>
    <row r="46" spans="1:9" x14ac:dyDescent="0.3">
      <c r="A46" t="s">
        <v>98</v>
      </c>
      <c r="B46" t="s">
        <v>99</v>
      </c>
      <c r="C46" t="s">
        <v>29</v>
      </c>
      <c r="D46" t="s">
        <v>18</v>
      </c>
      <c r="E46" t="s">
        <v>19</v>
      </c>
      <c r="F46">
        <v>3</v>
      </c>
      <c r="G46">
        <v>600</v>
      </c>
      <c r="H46">
        <v>1800</v>
      </c>
      <c r="I46" t="s">
        <v>20</v>
      </c>
    </row>
    <row r="47" spans="1:9" x14ac:dyDescent="0.3">
      <c r="A47" t="s">
        <v>21</v>
      </c>
      <c r="B47" t="s">
        <v>22</v>
      </c>
      <c r="C47" t="s">
        <v>23</v>
      </c>
      <c r="D47" t="s">
        <v>24</v>
      </c>
      <c r="E47" t="s">
        <v>25</v>
      </c>
      <c r="F47">
        <v>2</v>
      </c>
      <c r="G47">
        <v>1800</v>
      </c>
      <c r="H47">
        <v>3600</v>
      </c>
      <c r="I47" t="s">
        <v>26</v>
      </c>
    </row>
    <row r="48" spans="1:9" x14ac:dyDescent="0.3">
      <c r="A48" t="s">
        <v>47</v>
      </c>
      <c r="B48" t="s">
        <v>48</v>
      </c>
      <c r="C48" t="s">
        <v>33</v>
      </c>
      <c r="D48" t="s">
        <v>24</v>
      </c>
      <c r="E48" t="s">
        <v>25</v>
      </c>
      <c r="F48">
        <v>3</v>
      </c>
      <c r="G48">
        <v>1800</v>
      </c>
      <c r="H48">
        <v>5400</v>
      </c>
      <c r="I48" t="s">
        <v>14</v>
      </c>
    </row>
    <row r="49" spans="1:9" x14ac:dyDescent="0.3">
      <c r="A49" t="s">
        <v>58</v>
      </c>
      <c r="B49" t="s">
        <v>59</v>
      </c>
      <c r="C49" t="s">
        <v>29</v>
      </c>
      <c r="D49" t="s">
        <v>24</v>
      </c>
      <c r="E49" t="s">
        <v>25</v>
      </c>
      <c r="F49">
        <v>3</v>
      </c>
      <c r="G49">
        <v>1800</v>
      </c>
      <c r="H49">
        <v>5400</v>
      </c>
      <c r="I49" t="s">
        <v>46</v>
      </c>
    </row>
    <row r="50" spans="1:9" x14ac:dyDescent="0.3">
      <c r="A50" t="s">
        <v>51</v>
      </c>
      <c r="B50" t="s">
        <v>62</v>
      </c>
      <c r="C50" t="s">
        <v>33</v>
      </c>
      <c r="D50" t="s">
        <v>24</v>
      </c>
      <c r="E50" t="s">
        <v>25</v>
      </c>
      <c r="F50">
        <v>1</v>
      </c>
      <c r="G50">
        <v>1800</v>
      </c>
      <c r="H50">
        <v>1800</v>
      </c>
      <c r="I50" t="s">
        <v>26</v>
      </c>
    </row>
    <row r="51" spans="1:9" x14ac:dyDescent="0.3">
      <c r="A51" t="s">
        <v>44</v>
      </c>
      <c r="B51" t="s">
        <v>75</v>
      </c>
      <c r="C51" t="s">
        <v>23</v>
      </c>
      <c r="D51" t="s">
        <v>24</v>
      </c>
      <c r="E51" t="s">
        <v>25</v>
      </c>
      <c r="F51">
        <v>5</v>
      </c>
      <c r="G51">
        <v>1800</v>
      </c>
      <c r="H51">
        <v>9000</v>
      </c>
      <c r="I51" t="s">
        <v>14</v>
      </c>
    </row>
    <row r="52" spans="1:9" x14ac:dyDescent="0.3">
      <c r="A52" t="s">
        <v>78</v>
      </c>
      <c r="B52" t="s">
        <v>79</v>
      </c>
      <c r="C52" t="s">
        <v>11</v>
      </c>
      <c r="D52" t="s">
        <v>24</v>
      </c>
      <c r="E52" t="s">
        <v>25</v>
      </c>
      <c r="F52">
        <v>4</v>
      </c>
      <c r="G52">
        <v>1800</v>
      </c>
      <c r="H52">
        <v>7200</v>
      </c>
      <c r="I52" t="s">
        <v>26</v>
      </c>
    </row>
    <row r="53" spans="1:9" x14ac:dyDescent="0.3">
      <c r="A53" t="s">
        <v>69</v>
      </c>
      <c r="B53" t="s">
        <v>81</v>
      </c>
      <c r="C53" t="s">
        <v>23</v>
      </c>
      <c r="D53" t="s">
        <v>24</v>
      </c>
      <c r="E53" t="s">
        <v>25</v>
      </c>
      <c r="F53">
        <v>3</v>
      </c>
      <c r="G53">
        <v>1800</v>
      </c>
      <c r="H53">
        <v>5400</v>
      </c>
      <c r="I53" t="s">
        <v>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0F24-F42A-493B-A143-05172B9CBD6D}">
  <dimension ref="A2:H10"/>
  <sheetViews>
    <sheetView workbookViewId="0">
      <selection activeCell="A3" sqref="A3"/>
    </sheetView>
  </sheetViews>
  <sheetFormatPr defaultRowHeight="14.4" x14ac:dyDescent="0.3"/>
  <cols>
    <col min="1" max="1" width="12.5546875" bestFit="1" customWidth="1"/>
    <col min="2" max="2" width="16.21875" bestFit="1" customWidth="1"/>
    <col min="3" max="3" width="11.5546875" bestFit="1" customWidth="1"/>
  </cols>
  <sheetData>
    <row r="2" spans="1:8" x14ac:dyDescent="0.3">
      <c r="D2">
        <f>COUNTA($A:A)+2</f>
        <v>10</v>
      </c>
      <c r="E2" t="str">
        <f>"B"&amp;D2</f>
        <v>B10</v>
      </c>
      <c r="G2">
        <f>COUNTA($A:A)+2</f>
        <v>10</v>
      </c>
      <c r="H2" t="str">
        <f>"c"&amp;G2</f>
        <v>c10</v>
      </c>
    </row>
    <row r="3" spans="1:8" x14ac:dyDescent="0.3">
      <c r="A3" s="1" t="s">
        <v>106</v>
      </c>
      <c r="B3" t="s">
        <v>111</v>
      </c>
      <c r="C3" t="s">
        <v>110</v>
      </c>
      <c r="E3" cm="1">
        <f t="array" aca="1" ref="E3" ca="1">INDIRECT(E2)</f>
        <v>50</v>
      </c>
      <c r="H3" cm="1">
        <f t="array" aca="1" ref="H3" ca="1">INDIRECT(H2)</f>
        <v>555600</v>
      </c>
    </row>
    <row r="4" spans="1:8" x14ac:dyDescent="0.3">
      <c r="A4" s="2" t="s">
        <v>43</v>
      </c>
      <c r="B4" s="7">
        <v>8</v>
      </c>
      <c r="C4" s="7">
        <v>12000</v>
      </c>
    </row>
    <row r="5" spans="1:8" x14ac:dyDescent="0.3">
      <c r="A5" s="2" t="s">
        <v>37</v>
      </c>
      <c r="B5" s="7">
        <v>9</v>
      </c>
      <c r="C5" s="7">
        <v>405000</v>
      </c>
    </row>
    <row r="6" spans="1:8" x14ac:dyDescent="0.3">
      <c r="A6" s="2" t="s">
        <v>12</v>
      </c>
      <c r="B6" s="7">
        <v>8</v>
      </c>
      <c r="C6" s="7">
        <v>96000</v>
      </c>
    </row>
    <row r="7" spans="1:8" x14ac:dyDescent="0.3">
      <c r="A7" s="2" t="s">
        <v>30</v>
      </c>
      <c r="B7" s="7">
        <v>12</v>
      </c>
      <c r="C7" s="7">
        <v>26400</v>
      </c>
    </row>
    <row r="8" spans="1:8" x14ac:dyDescent="0.3">
      <c r="A8" s="2" t="s">
        <v>18</v>
      </c>
      <c r="B8" s="7">
        <v>6</v>
      </c>
      <c r="C8" s="7">
        <v>3600</v>
      </c>
    </row>
    <row r="9" spans="1:8" x14ac:dyDescent="0.3">
      <c r="A9" s="2" t="s">
        <v>24</v>
      </c>
      <c r="B9" s="7">
        <v>7</v>
      </c>
      <c r="C9" s="7">
        <v>12600</v>
      </c>
    </row>
    <row r="10" spans="1:8" x14ac:dyDescent="0.3">
      <c r="A10" s="2" t="s">
        <v>107</v>
      </c>
      <c r="B10" s="7">
        <v>50</v>
      </c>
      <c r="C10" s="7">
        <v>555600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zoomScale="109" workbookViewId="0">
      <selection activeCell="K12" sqref="K12"/>
    </sheetView>
  </sheetViews>
  <sheetFormatPr defaultRowHeight="14.4" x14ac:dyDescent="0.3"/>
  <cols>
    <col min="1" max="1" width="18.109375" customWidth="1"/>
    <col min="2" max="2" width="10.44140625" customWidth="1"/>
    <col min="3" max="3" width="17" customWidth="1"/>
    <col min="4" max="4" width="11.109375" bestFit="1" customWidth="1"/>
    <col min="5" max="5" width="10.44140625" bestFit="1" customWidth="1"/>
    <col min="6" max="6" width="10.21875" customWidth="1"/>
    <col min="7" max="7" width="8.77734375" bestFit="1" customWidth="1"/>
    <col min="8" max="8" width="12.33203125" customWidth="1"/>
    <col min="9" max="9" width="12.77734375" bestFit="1" customWidth="1"/>
  </cols>
  <sheetData>
    <row r="1" spans="1:9" x14ac:dyDescent="0.3">
      <c r="A1" t="s">
        <v>0</v>
      </c>
      <c r="B1" t="s">
        <v>1</v>
      </c>
      <c r="C1" t="s">
        <v>2</v>
      </c>
      <c r="D1" t="s">
        <v>3</v>
      </c>
      <c r="E1" t="s">
        <v>4</v>
      </c>
      <c r="F1" t="s">
        <v>5</v>
      </c>
      <c r="G1" t="s">
        <v>6</v>
      </c>
      <c r="H1" t="s">
        <v>7</v>
      </c>
      <c r="I1" t="s">
        <v>8</v>
      </c>
    </row>
    <row r="2" spans="1:9" x14ac:dyDescent="0.3">
      <c r="A2" s="4">
        <v>45302</v>
      </c>
      <c r="B2" t="s">
        <v>10</v>
      </c>
      <c r="C2" t="s">
        <v>11</v>
      </c>
      <c r="D2" t="s">
        <v>12</v>
      </c>
      <c r="E2" t="s">
        <v>13</v>
      </c>
      <c r="F2">
        <v>2</v>
      </c>
      <c r="G2">
        <v>12000</v>
      </c>
      <c r="H2">
        <v>24000</v>
      </c>
      <c r="I2" t="s">
        <v>14</v>
      </c>
    </row>
    <row r="3" spans="1:9" x14ac:dyDescent="0.3">
      <c r="A3" s="4">
        <v>45303</v>
      </c>
      <c r="B3" t="s">
        <v>16</v>
      </c>
      <c r="C3" t="s">
        <v>17</v>
      </c>
      <c r="D3" t="s">
        <v>18</v>
      </c>
      <c r="E3" t="s">
        <v>19</v>
      </c>
      <c r="F3">
        <v>1</v>
      </c>
      <c r="G3">
        <v>600</v>
      </c>
      <c r="H3">
        <v>600</v>
      </c>
      <c r="I3" t="s">
        <v>20</v>
      </c>
    </row>
    <row r="4" spans="1:9" x14ac:dyDescent="0.3">
      <c r="A4" s="4">
        <v>45304</v>
      </c>
      <c r="B4" t="s">
        <v>22</v>
      </c>
      <c r="C4" t="s">
        <v>23</v>
      </c>
      <c r="D4" t="s">
        <v>24</v>
      </c>
      <c r="E4" t="s">
        <v>25</v>
      </c>
      <c r="F4">
        <v>2</v>
      </c>
      <c r="G4">
        <v>1800</v>
      </c>
      <c r="H4">
        <v>3600</v>
      </c>
      <c r="I4" t="s">
        <v>26</v>
      </c>
    </row>
    <row r="5" spans="1:9" x14ac:dyDescent="0.3">
      <c r="A5" s="4">
        <v>45305</v>
      </c>
      <c r="B5" t="s">
        <v>28</v>
      </c>
      <c r="C5" t="s">
        <v>29</v>
      </c>
      <c r="D5" t="s">
        <v>30</v>
      </c>
      <c r="E5" t="s">
        <v>19</v>
      </c>
      <c r="F5">
        <v>4</v>
      </c>
      <c r="G5">
        <v>2200</v>
      </c>
      <c r="H5">
        <v>8800</v>
      </c>
      <c r="I5" t="s">
        <v>20</v>
      </c>
    </row>
    <row r="6" spans="1:9" x14ac:dyDescent="0.3">
      <c r="A6" s="4">
        <v>45306</v>
      </c>
      <c r="B6" t="s">
        <v>32</v>
      </c>
      <c r="C6" t="s">
        <v>33</v>
      </c>
      <c r="D6" t="s">
        <v>18</v>
      </c>
      <c r="E6" t="s">
        <v>19</v>
      </c>
      <c r="F6">
        <v>4</v>
      </c>
      <c r="G6">
        <v>600</v>
      </c>
      <c r="H6">
        <v>2400</v>
      </c>
      <c r="I6" t="s">
        <v>34</v>
      </c>
    </row>
    <row r="7" spans="1:9" x14ac:dyDescent="0.3">
      <c r="A7" s="4">
        <v>45307</v>
      </c>
      <c r="B7" t="s">
        <v>36</v>
      </c>
      <c r="C7" t="s">
        <v>11</v>
      </c>
      <c r="D7" t="s">
        <v>37</v>
      </c>
      <c r="E7" t="s">
        <v>13</v>
      </c>
      <c r="F7">
        <v>2</v>
      </c>
      <c r="G7">
        <v>45000</v>
      </c>
      <c r="H7">
        <v>90000</v>
      </c>
      <c r="I7" t="s">
        <v>26</v>
      </c>
    </row>
    <row r="8" spans="1:9" x14ac:dyDescent="0.3">
      <c r="A8" s="4">
        <v>45308</v>
      </c>
      <c r="B8" t="s">
        <v>39</v>
      </c>
      <c r="C8" t="s">
        <v>17</v>
      </c>
      <c r="D8" t="s">
        <v>30</v>
      </c>
      <c r="E8" t="s">
        <v>19</v>
      </c>
      <c r="F8">
        <v>4</v>
      </c>
      <c r="G8">
        <v>2200</v>
      </c>
      <c r="H8">
        <v>8800</v>
      </c>
      <c r="I8" t="s">
        <v>26</v>
      </c>
    </row>
    <row r="9" spans="1:9" x14ac:dyDescent="0.3">
      <c r="A9" s="4">
        <v>45309</v>
      </c>
      <c r="B9" t="s">
        <v>41</v>
      </c>
      <c r="C9" t="s">
        <v>42</v>
      </c>
      <c r="D9" t="s">
        <v>43</v>
      </c>
      <c r="E9" t="s">
        <v>25</v>
      </c>
      <c r="F9">
        <v>1</v>
      </c>
      <c r="G9">
        <v>1500</v>
      </c>
      <c r="H9">
        <v>1500</v>
      </c>
      <c r="I9" t="s">
        <v>34</v>
      </c>
    </row>
    <row r="10" spans="1:9" x14ac:dyDescent="0.3">
      <c r="A10" s="4">
        <v>45310</v>
      </c>
      <c r="B10" t="s">
        <v>45</v>
      </c>
      <c r="C10" t="s">
        <v>33</v>
      </c>
      <c r="D10" t="s">
        <v>30</v>
      </c>
      <c r="E10" t="s">
        <v>19</v>
      </c>
      <c r="F10">
        <v>5</v>
      </c>
      <c r="G10">
        <v>2200</v>
      </c>
      <c r="H10">
        <v>11000</v>
      </c>
      <c r="I10" t="s">
        <v>46</v>
      </c>
    </row>
    <row r="11" spans="1:9" x14ac:dyDescent="0.3">
      <c r="A11" s="4">
        <v>45311</v>
      </c>
      <c r="B11" t="s">
        <v>48</v>
      </c>
      <c r="C11" t="s">
        <v>33</v>
      </c>
      <c r="D11" t="s">
        <v>24</v>
      </c>
      <c r="E11" t="s">
        <v>25</v>
      </c>
      <c r="F11">
        <v>3</v>
      </c>
      <c r="G11">
        <v>1800</v>
      </c>
      <c r="H11">
        <v>5400</v>
      </c>
      <c r="I11" t="s">
        <v>14</v>
      </c>
    </row>
    <row r="12" spans="1:9" x14ac:dyDescent="0.3">
      <c r="A12" s="4">
        <v>45312</v>
      </c>
      <c r="B12" t="s">
        <v>50</v>
      </c>
      <c r="C12" t="s">
        <v>42</v>
      </c>
      <c r="D12" t="s">
        <v>43</v>
      </c>
      <c r="E12" t="s">
        <v>25</v>
      </c>
      <c r="F12">
        <v>5</v>
      </c>
      <c r="G12">
        <v>1500</v>
      </c>
      <c r="H12">
        <v>7500</v>
      </c>
      <c r="I12" t="s">
        <v>34</v>
      </c>
    </row>
    <row r="13" spans="1:9" x14ac:dyDescent="0.3">
      <c r="A13" s="4">
        <v>45313</v>
      </c>
      <c r="B13" t="s">
        <v>52</v>
      </c>
      <c r="C13" t="s">
        <v>23</v>
      </c>
      <c r="D13" t="s">
        <v>37</v>
      </c>
      <c r="E13" t="s">
        <v>13</v>
      </c>
      <c r="F13">
        <v>1</v>
      </c>
      <c r="G13">
        <v>45000</v>
      </c>
      <c r="H13">
        <v>45000</v>
      </c>
      <c r="I13" t="s">
        <v>14</v>
      </c>
    </row>
    <row r="14" spans="1:9" x14ac:dyDescent="0.3">
      <c r="A14" s="4">
        <v>45314</v>
      </c>
      <c r="B14" t="s">
        <v>54</v>
      </c>
      <c r="C14" t="s">
        <v>55</v>
      </c>
      <c r="D14" t="s">
        <v>12</v>
      </c>
      <c r="E14" t="s">
        <v>13</v>
      </c>
      <c r="F14">
        <v>3</v>
      </c>
      <c r="G14">
        <v>12000</v>
      </c>
      <c r="H14">
        <v>36000</v>
      </c>
      <c r="I14" t="s">
        <v>14</v>
      </c>
    </row>
    <row r="15" spans="1:9" x14ac:dyDescent="0.3">
      <c r="A15" s="4">
        <v>45315</v>
      </c>
      <c r="B15" t="s">
        <v>57</v>
      </c>
      <c r="C15" t="s">
        <v>33</v>
      </c>
      <c r="D15" t="s">
        <v>30</v>
      </c>
      <c r="E15" t="s">
        <v>19</v>
      </c>
      <c r="F15">
        <v>2</v>
      </c>
      <c r="G15">
        <v>2200</v>
      </c>
      <c r="H15">
        <v>4400</v>
      </c>
      <c r="I15" t="s">
        <v>20</v>
      </c>
    </row>
    <row r="16" spans="1:9" x14ac:dyDescent="0.3">
      <c r="A16" s="4">
        <v>45316</v>
      </c>
      <c r="B16" t="s">
        <v>59</v>
      </c>
      <c r="C16" t="s">
        <v>29</v>
      </c>
      <c r="D16" t="s">
        <v>24</v>
      </c>
      <c r="E16" t="s">
        <v>25</v>
      </c>
      <c r="F16">
        <v>3</v>
      </c>
      <c r="G16">
        <v>1800</v>
      </c>
      <c r="H16">
        <v>5400</v>
      </c>
      <c r="I16" t="s">
        <v>46</v>
      </c>
    </row>
    <row r="17" spans="1:9" x14ac:dyDescent="0.3">
      <c r="A17" s="4">
        <v>45317</v>
      </c>
      <c r="B17" t="s">
        <v>61</v>
      </c>
      <c r="C17" t="s">
        <v>17</v>
      </c>
      <c r="D17" t="s">
        <v>37</v>
      </c>
      <c r="E17" t="s">
        <v>13</v>
      </c>
      <c r="F17">
        <v>2</v>
      </c>
      <c r="G17">
        <v>45000</v>
      </c>
      <c r="H17">
        <v>90000</v>
      </c>
      <c r="I17" t="s">
        <v>46</v>
      </c>
    </row>
    <row r="18" spans="1:9" x14ac:dyDescent="0.3">
      <c r="A18" s="4">
        <v>45318</v>
      </c>
      <c r="B18" t="s">
        <v>62</v>
      </c>
      <c r="C18" t="s">
        <v>33</v>
      </c>
      <c r="D18" t="s">
        <v>24</v>
      </c>
      <c r="E18" t="s">
        <v>25</v>
      </c>
      <c r="F18">
        <v>1</v>
      </c>
      <c r="G18">
        <v>1800</v>
      </c>
      <c r="H18">
        <v>1800</v>
      </c>
      <c r="I18" t="s">
        <v>26</v>
      </c>
    </row>
    <row r="19" spans="1:9" x14ac:dyDescent="0.3">
      <c r="A19" s="4">
        <v>45319</v>
      </c>
      <c r="B19" t="s">
        <v>64</v>
      </c>
      <c r="C19" t="s">
        <v>11</v>
      </c>
      <c r="D19" t="s">
        <v>30</v>
      </c>
      <c r="E19" t="s">
        <v>19</v>
      </c>
      <c r="F19">
        <v>2</v>
      </c>
      <c r="G19">
        <v>2200</v>
      </c>
      <c r="H19">
        <v>4400</v>
      </c>
      <c r="I19" t="s">
        <v>34</v>
      </c>
    </row>
    <row r="20" spans="1:9" x14ac:dyDescent="0.3">
      <c r="A20" s="4">
        <v>45320</v>
      </c>
      <c r="B20" t="s">
        <v>66</v>
      </c>
      <c r="C20" t="s">
        <v>33</v>
      </c>
      <c r="D20" t="s">
        <v>18</v>
      </c>
      <c r="E20" t="s">
        <v>19</v>
      </c>
      <c r="F20">
        <v>4</v>
      </c>
      <c r="G20">
        <v>600</v>
      </c>
      <c r="H20">
        <v>2400</v>
      </c>
      <c r="I20" t="s">
        <v>20</v>
      </c>
    </row>
    <row r="21" spans="1:9" x14ac:dyDescent="0.3">
      <c r="A21" s="4">
        <v>45321</v>
      </c>
      <c r="B21" t="s">
        <v>68</v>
      </c>
      <c r="C21" t="s">
        <v>11</v>
      </c>
      <c r="D21" t="s">
        <v>30</v>
      </c>
      <c r="E21" t="s">
        <v>19</v>
      </c>
      <c r="F21">
        <v>2</v>
      </c>
      <c r="G21">
        <v>2200</v>
      </c>
      <c r="H21">
        <v>4400</v>
      </c>
      <c r="I21" t="s">
        <v>46</v>
      </c>
    </row>
    <row r="22" spans="1:9" x14ac:dyDescent="0.3">
      <c r="A22" s="4">
        <v>45322</v>
      </c>
      <c r="B22" t="s">
        <v>70</v>
      </c>
      <c r="C22" t="s">
        <v>11</v>
      </c>
      <c r="D22" t="s">
        <v>43</v>
      </c>
      <c r="E22" t="s">
        <v>25</v>
      </c>
      <c r="F22">
        <v>4</v>
      </c>
      <c r="G22">
        <v>1500</v>
      </c>
      <c r="H22">
        <v>6000</v>
      </c>
      <c r="I22" t="s">
        <v>46</v>
      </c>
    </row>
    <row r="23" spans="1:9" x14ac:dyDescent="0.3">
      <c r="A23" s="4">
        <v>45323</v>
      </c>
      <c r="B23" t="s">
        <v>71</v>
      </c>
      <c r="C23" t="s">
        <v>29</v>
      </c>
      <c r="D23" t="s">
        <v>30</v>
      </c>
      <c r="E23" t="s">
        <v>19</v>
      </c>
      <c r="F23">
        <v>3</v>
      </c>
      <c r="G23">
        <v>2200</v>
      </c>
      <c r="H23">
        <v>6600</v>
      </c>
      <c r="I23" t="s">
        <v>26</v>
      </c>
    </row>
    <row r="24" spans="1:9" x14ac:dyDescent="0.3">
      <c r="A24" s="4">
        <v>45324</v>
      </c>
      <c r="B24" t="s">
        <v>72</v>
      </c>
      <c r="C24" t="s">
        <v>17</v>
      </c>
      <c r="D24" t="s">
        <v>18</v>
      </c>
      <c r="E24" t="s">
        <v>19</v>
      </c>
      <c r="F24">
        <v>3</v>
      </c>
      <c r="G24">
        <v>600</v>
      </c>
      <c r="H24">
        <v>1800</v>
      </c>
      <c r="I24" t="s">
        <v>46</v>
      </c>
    </row>
    <row r="25" spans="1:9" x14ac:dyDescent="0.3">
      <c r="A25" s="4">
        <v>45325</v>
      </c>
      <c r="B25" t="s">
        <v>73</v>
      </c>
      <c r="C25" t="s">
        <v>11</v>
      </c>
      <c r="D25" t="s">
        <v>43</v>
      </c>
      <c r="E25" t="s">
        <v>25</v>
      </c>
      <c r="F25">
        <v>1</v>
      </c>
      <c r="G25">
        <v>1500</v>
      </c>
      <c r="H25">
        <v>1500</v>
      </c>
      <c r="I25" t="s">
        <v>14</v>
      </c>
    </row>
    <row r="26" spans="1:9" x14ac:dyDescent="0.3">
      <c r="A26" s="4">
        <v>45326</v>
      </c>
      <c r="B26" t="s">
        <v>74</v>
      </c>
      <c r="C26" t="s">
        <v>23</v>
      </c>
      <c r="D26" t="s">
        <v>37</v>
      </c>
      <c r="E26" t="s">
        <v>13</v>
      </c>
      <c r="F26">
        <v>1</v>
      </c>
      <c r="G26">
        <v>45000</v>
      </c>
      <c r="H26">
        <v>45000</v>
      </c>
      <c r="I26" t="s">
        <v>34</v>
      </c>
    </row>
    <row r="27" spans="1:9" x14ac:dyDescent="0.3">
      <c r="A27" s="4">
        <v>45327</v>
      </c>
      <c r="B27" t="s">
        <v>75</v>
      </c>
      <c r="C27" t="s">
        <v>23</v>
      </c>
      <c r="D27" t="s">
        <v>24</v>
      </c>
      <c r="E27" t="s">
        <v>25</v>
      </c>
      <c r="F27">
        <v>5</v>
      </c>
      <c r="G27">
        <v>1800</v>
      </c>
      <c r="H27">
        <v>9000</v>
      </c>
      <c r="I27" t="s">
        <v>14</v>
      </c>
    </row>
    <row r="28" spans="1:9" x14ac:dyDescent="0.3">
      <c r="A28" s="4">
        <v>45328</v>
      </c>
      <c r="B28" t="s">
        <v>77</v>
      </c>
      <c r="C28" t="s">
        <v>11</v>
      </c>
      <c r="D28" t="s">
        <v>18</v>
      </c>
      <c r="E28" t="s">
        <v>19</v>
      </c>
      <c r="F28">
        <v>5</v>
      </c>
      <c r="G28">
        <v>600</v>
      </c>
      <c r="H28">
        <v>3000</v>
      </c>
      <c r="I28" t="s">
        <v>14</v>
      </c>
    </row>
    <row r="29" spans="1:9" x14ac:dyDescent="0.3">
      <c r="A29" s="4">
        <v>45329</v>
      </c>
      <c r="B29" t="s">
        <v>79</v>
      </c>
      <c r="C29" t="s">
        <v>11</v>
      </c>
      <c r="D29" t="s">
        <v>24</v>
      </c>
      <c r="E29" t="s">
        <v>25</v>
      </c>
      <c r="F29">
        <v>4</v>
      </c>
      <c r="G29">
        <v>1800</v>
      </c>
      <c r="H29">
        <v>7200</v>
      </c>
      <c r="I29" t="s">
        <v>26</v>
      </c>
    </row>
    <row r="30" spans="1:9" x14ac:dyDescent="0.3">
      <c r="A30" s="4">
        <v>45330</v>
      </c>
      <c r="B30" t="s">
        <v>80</v>
      </c>
      <c r="C30" t="s">
        <v>17</v>
      </c>
      <c r="D30" t="s">
        <v>43</v>
      </c>
      <c r="E30" t="s">
        <v>25</v>
      </c>
      <c r="F30">
        <v>1</v>
      </c>
      <c r="G30">
        <v>1500</v>
      </c>
      <c r="H30">
        <v>1500</v>
      </c>
      <c r="I30" t="s">
        <v>46</v>
      </c>
    </row>
    <row r="31" spans="1:9" x14ac:dyDescent="0.3">
      <c r="A31" s="4">
        <v>45331</v>
      </c>
      <c r="B31" t="s">
        <v>81</v>
      </c>
      <c r="C31" t="s">
        <v>23</v>
      </c>
      <c r="D31" t="s">
        <v>24</v>
      </c>
      <c r="E31" t="s">
        <v>25</v>
      </c>
      <c r="F31">
        <v>3</v>
      </c>
      <c r="G31">
        <v>1800</v>
      </c>
      <c r="H31">
        <v>5400</v>
      </c>
      <c r="I31" t="s">
        <v>46</v>
      </c>
    </row>
    <row r="32" spans="1:9" x14ac:dyDescent="0.3">
      <c r="A32" s="4">
        <v>45332</v>
      </c>
      <c r="B32" t="s">
        <v>82</v>
      </c>
      <c r="C32" t="s">
        <v>23</v>
      </c>
      <c r="D32" t="s">
        <v>37</v>
      </c>
      <c r="E32" t="s">
        <v>13</v>
      </c>
      <c r="F32">
        <v>2</v>
      </c>
      <c r="G32">
        <v>45000</v>
      </c>
      <c r="H32">
        <v>90000</v>
      </c>
      <c r="I32" t="s">
        <v>34</v>
      </c>
    </row>
    <row r="33" spans="1:9" x14ac:dyDescent="0.3">
      <c r="A33" s="4">
        <v>45333</v>
      </c>
      <c r="B33" t="s">
        <v>84</v>
      </c>
      <c r="C33" t="s">
        <v>29</v>
      </c>
      <c r="D33" t="s">
        <v>43</v>
      </c>
      <c r="E33" t="s">
        <v>25</v>
      </c>
      <c r="F33">
        <v>5</v>
      </c>
      <c r="G33">
        <v>1500</v>
      </c>
      <c r="H33">
        <v>7500</v>
      </c>
      <c r="I33" t="s">
        <v>34</v>
      </c>
    </row>
    <row r="34" spans="1:9" x14ac:dyDescent="0.3">
      <c r="A34" s="4">
        <v>45334</v>
      </c>
      <c r="B34" t="s">
        <v>85</v>
      </c>
      <c r="C34" t="s">
        <v>17</v>
      </c>
      <c r="D34" t="s">
        <v>30</v>
      </c>
      <c r="E34" t="s">
        <v>19</v>
      </c>
      <c r="F34">
        <v>2</v>
      </c>
      <c r="G34">
        <v>2200</v>
      </c>
      <c r="H34">
        <v>4400</v>
      </c>
      <c r="I34" t="s">
        <v>14</v>
      </c>
    </row>
    <row r="35" spans="1:9" x14ac:dyDescent="0.3">
      <c r="A35" s="4">
        <v>45335</v>
      </c>
      <c r="B35" t="s">
        <v>86</v>
      </c>
      <c r="C35" t="s">
        <v>29</v>
      </c>
      <c r="D35" t="s">
        <v>43</v>
      </c>
      <c r="E35" t="s">
        <v>25</v>
      </c>
      <c r="F35">
        <v>1</v>
      </c>
      <c r="G35">
        <v>1500</v>
      </c>
      <c r="H35">
        <v>1500</v>
      </c>
      <c r="I35" t="s">
        <v>26</v>
      </c>
    </row>
    <row r="36" spans="1:9" x14ac:dyDescent="0.3">
      <c r="A36" s="4">
        <v>45336</v>
      </c>
      <c r="B36" t="s">
        <v>87</v>
      </c>
      <c r="C36" t="s">
        <v>17</v>
      </c>
      <c r="D36" t="s">
        <v>12</v>
      </c>
      <c r="E36" t="s">
        <v>13</v>
      </c>
      <c r="F36">
        <v>4</v>
      </c>
      <c r="G36">
        <v>12000</v>
      </c>
      <c r="H36">
        <v>48000</v>
      </c>
      <c r="I36" t="s">
        <v>34</v>
      </c>
    </row>
    <row r="37" spans="1:9" x14ac:dyDescent="0.3">
      <c r="A37" s="4">
        <v>45337</v>
      </c>
      <c r="B37" t="s">
        <v>89</v>
      </c>
      <c r="C37" t="s">
        <v>17</v>
      </c>
      <c r="D37" t="s">
        <v>12</v>
      </c>
      <c r="E37" t="s">
        <v>13</v>
      </c>
      <c r="F37">
        <v>5</v>
      </c>
      <c r="G37">
        <v>12000</v>
      </c>
      <c r="H37">
        <v>60000</v>
      </c>
      <c r="I37" t="s">
        <v>34</v>
      </c>
    </row>
    <row r="38" spans="1:9" x14ac:dyDescent="0.3">
      <c r="A38" s="4">
        <v>45338</v>
      </c>
      <c r="B38" t="s">
        <v>91</v>
      </c>
      <c r="C38" t="s">
        <v>11</v>
      </c>
      <c r="D38" t="s">
        <v>43</v>
      </c>
      <c r="E38" t="s">
        <v>25</v>
      </c>
      <c r="F38">
        <v>1</v>
      </c>
      <c r="G38">
        <v>1500</v>
      </c>
      <c r="H38">
        <v>1500</v>
      </c>
      <c r="I38" t="s">
        <v>34</v>
      </c>
    </row>
    <row r="39" spans="1:9" x14ac:dyDescent="0.3">
      <c r="A39" s="4">
        <v>45339</v>
      </c>
      <c r="B39" t="s">
        <v>92</v>
      </c>
      <c r="C39" t="s">
        <v>23</v>
      </c>
      <c r="D39" t="s">
        <v>12</v>
      </c>
      <c r="E39" t="s">
        <v>13</v>
      </c>
      <c r="F39">
        <v>5</v>
      </c>
      <c r="G39">
        <v>12000</v>
      </c>
      <c r="H39">
        <v>60000</v>
      </c>
      <c r="I39" t="s">
        <v>14</v>
      </c>
    </row>
    <row r="40" spans="1:9" x14ac:dyDescent="0.3">
      <c r="A40" s="4">
        <v>45340</v>
      </c>
      <c r="B40" t="s">
        <v>93</v>
      </c>
      <c r="C40" t="s">
        <v>23</v>
      </c>
      <c r="D40" t="s">
        <v>12</v>
      </c>
      <c r="E40" t="s">
        <v>13</v>
      </c>
      <c r="F40">
        <v>4</v>
      </c>
      <c r="G40">
        <v>12000</v>
      </c>
      <c r="H40">
        <v>48000</v>
      </c>
      <c r="I40" t="s">
        <v>26</v>
      </c>
    </row>
    <row r="41" spans="1:9" x14ac:dyDescent="0.3">
      <c r="A41" s="4">
        <v>45341</v>
      </c>
      <c r="B41" t="s">
        <v>94</v>
      </c>
      <c r="C41" t="s">
        <v>55</v>
      </c>
      <c r="D41" t="s">
        <v>37</v>
      </c>
      <c r="E41" t="s">
        <v>13</v>
      </c>
      <c r="F41">
        <v>4</v>
      </c>
      <c r="G41">
        <v>45000</v>
      </c>
      <c r="H41">
        <v>180000</v>
      </c>
      <c r="I41" t="s">
        <v>34</v>
      </c>
    </row>
    <row r="42" spans="1:9" x14ac:dyDescent="0.3">
      <c r="A42" s="4">
        <v>45342</v>
      </c>
      <c r="B42" t="s">
        <v>95</v>
      </c>
      <c r="C42" t="s">
        <v>23</v>
      </c>
      <c r="D42" t="s">
        <v>37</v>
      </c>
      <c r="E42" t="s">
        <v>13</v>
      </c>
      <c r="F42">
        <v>4</v>
      </c>
      <c r="G42">
        <v>45000</v>
      </c>
      <c r="H42">
        <v>180000</v>
      </c>
      <c r="I42" t="s">
        <v>14</v>
      </c>
    </row>
    <row r="43" spans="1:9" x14ac:dyDescent="0.3">
      <c r="A43" s="4">
        <v>45343</v>
      </c>
      <c r="B43" t="s">
        <v>96</v>
      </c>
      <c r="C43" t="s">
        <v>33</v>
      </c>
      <c r="D43" t="s">
        <v>12</v>
      </c>
      <c r="E43" t="s">
        <v>13</v>
      </c>
      <c r="F43">
        <v>2</v>
      </c>
      <c r="G43">
        <v>12000</v>
      </c>
      <c r="H43">
        <v>24000</v>
      </c>
      <c r="I43" t="s">
        <v>46</v>
      </c>
    </row>
    <row r="44" spans="1:9" x14ac:dyDescent="0.3">
      <c r="A44" s="4">
        <v>45344</v>
      </c>
      <c r="B44" t="s">
        <v>97</v>
      </c>
      <c r="C44" t="s">
        <v>42</v>
      </c>
      <c r="D44" t="s">
        <v>30</v>
      </c>
      <c r="E44" t="s">
        <v>19</v>
      </c>
      <c r="F44">
        <v>3</v>
      </c>
      <c r="G44">
        <v>2200</v>
      </c>
      <c r="H44">
        <v>6600</v>
      </c>
      <c r="I44" t="s">
        <v>34</v>
      </c>
    </row>
    <row r="45" spans="1:9" x14ac:dyDescent="0.3">
      <c r="A45" s="4">
        <v>45345</v>
      </c>
      <c r="B45" t="s">
        <v>99</v>
      </c>
      <c r="C45" t="s">
        <v>29</v>
      </c>
      <c r="D45" t="s">
        <v>18</v>
      </c>
      <c r="E45" t="s">
        <v>19</v>
      </c>
      <c r="F45">
        <v>3</v>
      </c>
      <c r="G45">
        <v>600</v>
      </c>
      <c r="H45">
        <v>1800</v>
      </c>
      <c r="I45" t="s">
        <v>20</v>
      </c>
    </row>
    <row r="46" spans="1:9" x14ac:dyDescent="0.3">
      <c r="A46" s="4">
        <v>45346</v>
      </c>
      <c r="B46" t="s">
        <v>100</v>
      </c>
      <c r="C46" t="s">
        <v>55</v>
      </c>
      <c r="D46" t="s">
        <v>30</v>
      </c>
      <c r="E46" t="s">
        <v>19</v>
      </c>
      <c r="F46">
        <v>5</v>
      </c>
      <c r="G46">
        <v>2200</v>
      </c>
      <c r="H46">
        <v>11000</v>
      </c>
      <c r="I46" t="s">
        <v>20</v>
      </c>
    </row>
    <row r="47" spans="1:9" x14ac:dyDescent="0.3">
      <c r="A47" s="4">
        <v>45347</v>
      </c>
      <c r="B47" t="s">
        <v>101</v>
      </c>
      <c r="C47" t="s">
        <v>29</v>
      </c>
      <c r="D47" t="s">
        <v>37</v>
      </c>
      <c r="E47" t="s">
        <v>13</v>
      </c>
      <c r="F47">
        <v>3</v>
      </c>
      <c r="G47">
        <v>45000</v>
      </c>
      <c r="H47">
        <v>135000</v>
      </c>
      <c r="I47" t="s">
        <v>26</v>
      </c>
    </row>
    <row r="48" spans="1:9" x14ac:dyDescent="0.3">
      <c r="A48" s="4">
        <v>45348</v>
      </c>
      <c r="B48" t="s">
        <v>102</v>
      </c>
      <c r="C48" t="s">
        <v>55</v>
      </c>
      <c r="D48" t="s">
        <v>30</v>
      </c>
      <c r="E48" t="s">
        <v>19</v>
      </c>
      <c r="F48">
        <v>5</v>
      </c>
      <c r="G48">
        <v>2200</v>
      </c>
      <c r="H48">
        <v>11000</v>
      </c>
      <c r="I48" t="s">
        <v>26</v>
      </c>
    </row>
    <row r="49" spans="1:9" x14ac:dyDescent="0.3">
      <c r="A49" s="4">
        <v>45349</v>
      </c>
      <c r="B49" t="s">
        <v>103</v>
      </c>
      <c r="C49" t="s">
        <v>33</v>
      </c>
      <c r="D49" t="s">
        <v>12</v>
      </c>
      <c r="E49" t="s">
        <v>13</v>
      </c>
      <c r="F49">
        <v>2</v>
      </c>
      <c r="G49">
        <v>12000</v>
      </c>
      <c r="H49">
        <v>24000</v>
      </c>
      <c r="I49" t="s">
        <v>20</v>
      </c>
    </row>
    <row r="50" spans="1:9" x14ac:dyDescent="0.3">
      <c r="A50" s="4">
        <v>45350</v>
      </c>
      <c r="B50" t="s">
        <v>104</v>
      </c>
      <c r="C50" t="s">
        <v>42</v>
      </c>
      <c r="D50" t="s">
        <v>30</v>
      </c>
      <c r="E50" t="s">
        <v>19</v>
      </c>
      <c r="F50">
        <v>4</v>
      </c>
      <c r="G50">
        <v>2200</v>
      </c>
      <c r="H50">
        <v>8800</v>
      </c>
      <c r="I50" t="s">
        <v>46</v>
      </c>
    </row>
    <row r="51" spans="1:9" x14ac:dyDescent="0.3">
      <c r="A51" s="4">
        <v>45351</v>
      </c>
      <c r="B51" t="s">
        <v>105</v>
      </c>
      <c r="C51" t="s">
        <v>17</v>
      </c>
      <c r="D51" t="s">
        <v>37</v>
      </c>
      <c r="E51" t="s">
        <v>13</v>
      </c>
      <c r="F51">
        <v>1</v>
      </c>
      <c r="G51">
        <v>45000</v>
      </c>
      <c r="H51">
        <v>45000</v>
      </c>
      <c r="I51" t="s">
        <v>46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5151-AE5A-413B-ACD0-5B7B080AB69C}">
  <dimension ref="A1:A4"/>
  <sheetViews>
    <sheetView showGridLines="0" tabSelected="1" topLeftCell="S10" zoomScale="95" zoomScaleNormal="53" workbookViewId="0">
      <selection activeCell="AU15" sqref="AU15"/>
    </sheetView>
  </sheetViews>
  <sheetFormatPr defaultRowHeight="14.4" x14ac:dyDescent="0.3"/>
  <sheetData>
    <row r="1" customFormat="1" x14ac:dyDescent="0.3"/>
    <row r="2" customFormat="1" x14ac:dyDescent="0.3"/>
    <row r="3" customFormat="1" x14ac:dyDescent="0.3"/>
    <row r="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Category-wise Sales</vt:lpstr>
      <vt:lpstr>Date-wise Sales</vt:lpstr>
      <vt:lpstr>Product-wise Sales</vt:lpstr>
      <vt:lpstr>State-wise Sales</vt:lpstr>
      <vt:lpstr>Detail1</vt:lpstr>
      <vt:lpstr>Sheet9</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More</cp:lastModifiedBy>
  <dcterms:created xsi:type="dcterms:W3CDTF">2025-12-03T15:33:15Z</dcterms:created>
  <dcterms:modified xsi:type="dcterms:W3CDTF">2025-12-05T10:22:18Z</dcterms:modified>
</cp:coreProperties>
</file>